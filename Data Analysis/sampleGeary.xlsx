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natal\Downloads\"/>
    </mc:Choice>
  </mc:AlternateContent>
  <xr:revisionPtr revIDLastSave="0" documentId="13_ncr:1_{A22A64C6-9059-4115-96DE-7BB01F47496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mple" sheetId="1" r:id="rId1"/>
    <sheet name="Median project category" sheetId="2" r:id="rId2"/>
  </sheets>
  <definedNames>
    <definedName name="_xlnm._FilterDatabase" localSheetId="1" hidden="1">'Median project category'!$H$1:$Y$79</definedName>
    <definedName name="_xlnm._FilterDatabase" localSheetId="0" hidden="1">Sample!$A$1:$S$79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LnMXkxxhS9WESKJRU9nrHVoqYZiCjsA3rahVNhXbQkA="/>
    </ext>
  </extLst>
</workbook>
</file>

<file path=xl/calcChain.xml><?xml version="1.0" encoding="utf-8"?>
<calcChain xmlns="http://schemas.openxmlformats.org/spreadsheetml/2006/main">
  <c r="F6" i="2" l="1"/>
  <c r="F5" i="2"/>
  <c r="F4" i="2"/>
  <c r="E6" i="2"/>
  <c r="E5" i="2"/>
  <c r="E4" i="2"/>
  <c r="D6" i="2"/>
  <c r="D5" i="2"/>
  <c r="C5" i="2"/>
  <c r="C6" i="2"/>
  <c r="C4" i="2"/>
  <c r="D4" i="2"/>
  <c r="V38" i="2"/>
  <c r="W38" i="2" s="1"/>
  <c r="U38" i="2"/>
  <c r="T38" i="2"/>
  <c r="V78" i="2"/>
  <c r="W78" i="2" s="1"/>
  <c r="U78" i="2"/>
  <c r="T78" i="2"/>
  <c r="P74" i="1"/>
  <c r="Q74" i="1" s="1"/>
  <c r="O74" i="1"/>
  <c r="N74" i="1"/>
  <c r="P66" i="1"/>
  <c r="Q66" i="1" s="1"/>
  <c r="O66" i="1"/>
  <c r="N66" i="1"/>
</calcChain>
</file>

<file path=xl/sharedStrings.xml><?xml version="1.0" encoding="utf-8"?>
<sst xmlns="http://schemas.openxmlformats.org/spreadsheetml/2006/main" count="684" uniqueCount="114">
  <si>
    <t>proj_id</t>
  </si>
  <si>
    <t>Geary</t>
  </si>
  <si>
    <t>difficulty</t>
  </si>
  <si>
    <t>priority</t>
  </si>
  <si>
    <t>totalContributors</t>
  </si>
  <si>
    <t>totalAreaSquareKilometers</t>
  </si>
  <si>
    <t>tasks</t>
  </si>
  <si>
    <t>tasks_with_buildings</t>
  </si>
  <si>
    <t>empty_tasks</t>
  </si>
  <si>
    <t>completeness</t>
  </si>
  <si>
    <t>avg_buildings_count</t>
  </si>
  <si>
    <t>median_buildings_count</t>
  </si>
  <si>
    <t>ContributorTaks</t>
  </si>
  <si>
    <t>AreaTasks</t>
  </si>
  <si>
    <t>BuildingsArea</t>
  </si>
  <si>
    <t>BuildingsArea0</t>
  </si>
  <si>
    <t>Hotspots</t>
  </si>
  <si>
    <t>Different style</t>
  </si>
  <si>
    <t>EASY</t>
  </si>
  <si>
    <t>LOW</t>
  </si>
  <si>
    <t>NO</t>
  </si>
  <si>
    <t>MEDIUM</t>
  </si>
  <si>
    <t>NS</t>
  </si>
  <si>
    <t>MODERATE</t>
  </si>
  <si>
    <t>HIGH</t>
  </si>
  <si>
    <t>Multiple</t>
  </si>
  <si>
    <t>YES</t>
  </si>
  <si>
    <t>URGENT</t>
  </si>
  <si>
    <t>Yes</t>
  </si>
  <si>
    <t>No</t>
  </si>
  <si>
    <t>N/A</t>
  </si>
  <si>
    <t>Tasks</t>
  </si>
  <si>
    <t>Contributors</t>
  </si>
  <si>
    <t>Buildings/Area</t>
  </si>
  <si>
    <t>Area/Task</t>
  </si>
  <si>
    <t>atlas</t>
  </si>
  <si>
    <t>pg_0001</t>
  </si>
  <si>
    <t>pg_0006</t>
  </si>
  <si>
    <t>pg_0002</t>
  </si>
  <si>
    <t>pg_0008</t>
  </si>
  <si>
    <t>pg_0003</t>
  </si>
  <si>
    <t>pg_0004</t>
  </si>
  <si>
    <t>pg_0005</t>
  </si>
  <si>
    <t>pg_0007</t>
  </si>
  <si>
    <t>pg_0009</t>
  </si>
  <si>
    <t>pg_0010</t>
  </si>
  <si>
    <t>pg_0011</t>
  </si>
  <si>
    <t>pg_0012</t>
  </si>
  <si>
    <t>pg_0013</t>
  </si>
  <si>
    <t>pg_0014</t>
  </si>
  <si>
    <t>pg_0015</t>
  </si>
  <si>
    <t>pg_0016</t>
  </si>
  <si>
    <t>pg_0017</t>
  </si>
  <si>
    <t>pg_0018</t>
  </si>
  <si>
    <t>pg_0019</t>
  </si>
  <si>
    <t>pg_0020</t>
  </si>
  <si>
    <t>pg_0021</t>
  </si>
  <si>
    <t>pg_0022</t>
  </si>
  <si>
    <t>pg_0023</t>
  </si>
  <si>
    <t>pg_0024</t>
  </si>
  <si>
    <t>pg_0025</t>
  </si>
  <si>
    <t>pg_0026</t>
  </si>
  <si>
    <t>pg_0027</t>
  </si>
  <si>
    <t>pg_0028</t>
  </si>
  <si>
    <t>pg_0029</t>
  </si>
  <si>
    <t>pg_0030</t>
  </si>
  <si>
    <t>pg_0031</t>
  </si>
  <si>
    <t>pg_0032</t>
  </si>
  <si>
    <t>pg_0033</t>
  </si>
  <si>
    <t>pg_0034</t>
  </si>
  <si>
    <t>pg_0035</t>
  </si>
  <si>
    <t>pg_0036</t>
  </si>
  <si>
    <t>pg_0037</t>
  </si>
  <si>
    <t>pg_0038</t>
  </si>
  <si>
    <t>pg_0039</t>
  </si>
  <si>
    <t>pg_0040</t>
  </si>
  <si>
    <t>pg_0041</t>
  </si>
  <si>
    <t>pg_0042</t>
  </si>
  <si>
    <t>pg_0043</t>
  </si>
  <si>
    <t>pg_0044</t>
  </si>
  <si>
    <t>pg_0045</t>
  </si>
  <si>
    <t>pg_0046</t>
  </si>
  <si>
    <t>pg_0047</t>
  </si>
  <si>
    <t>pg_0048</t>
  </si>
  <si>
    <t>pg_0049</t>
  </si>
  <si>
    <t>pg_0050</t>
  </si>
  <si>
    <t>pg_0051</t>
  </si>
  <si>
    <t>pg_0052</t>
  </si>
  <si>
    <t>pg_0053</t>
  </si>
  <si>
    <t>pg_0054</t>
  </si>
  <si>
    <t>pg_0055</t>
  </si>
  <si>
    <t>pg_0056</t>
  </si>
  <si>
    <t>pg_0057</t>
  </si>
  <si>
    <t>pg_0058</t>
  </si>
  <si>
    <t>pg_0059</t>
  </si>
  <si>
    <t>pg_0060</t>
  </si>
  <si>
    <t>pg_0061</t>
  </si>
  <si>
    <t>pg_0062</t>
  </si>
  <si>
    <t>pg_0063</t>
  </si>
  <si>
    <t>pg_0064</t>
  </si>
  <si>
    <t>pg_0065</t>
  </si>
  <si>
    <t>pg_0066</t>
  </si>
  <si>
    <t>pg_0067</t>
  </si>
  <si>
    <t>pg_0068</t>
  </si>
  <si>
    <t>pg_0069</t>
  </si>
  <si>
    <t>pg_0070</t>
  </si>
  <si>
    <t>pg_0071</t>
  </si>
  <si>
    <t>pg_0072</t>
  </si>
  <si>
    <t>pg_0073</t>
  </si>
  <si>
    <t>pg_0074</t>
  </si>
  <si>
    <t>pg_0075</t>
  </si>
  <si>
    <t>pg_0076</t>
  </si>
  <si>
    <t>pg_0077</t>
  </si>
  <si>
    <t>pg_0078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</si>
</sst>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</font>
    <font>
      <sz val="11"/>
      <color theme="1"/>
      <name val="Arial"/>
    </font>
    <font>
      <sz val="11"/>
      <color theme="1"/>
      <name val="Arial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  <font>
      <b/>
      <sz val="11"/>
      <color theme="1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Fill="1" applyBorder="1" applyAlignment="1">
      <alignment horizontal="left"/>
    </xf>
    <xf numFmtId="164" fontId="2" fillId="0" borderId="1" xfId="0" applyNumberFormat="1" applyFont="1" applyFill="1" applyBorder="1" applyAlignment="1">
      <alignment horizontal="left"/>
    </xf>
    <xf numFmtId="9" fontId="2" fillId="0" borderId="1" xfId="0" applyNumberFormat="1" applyFont="1" applyFill="1" applyBorder="1" applyAlignment="1">
      <alignment horizontal="left"/>
    </xf>
    <xf numFmtId="0" fontId="3" fillId="0" borderId="1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3" fontId="4" fillId="0" borderId="1" xfId="0" applyNumberFormat="1" applyFont="1" applyFill="1" applyBorder="1" applyAlignment="1">
      <alignment horizontal="left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 vertical="top"/>
    </xf>
    <xf numFmtId="0" fontId="1" fillId="0" borderId="0" xfId="0" applyFont="1"/>
    <xf numFmtId="0" fontId="0" fillId="0" borderId="2" xfId="0" applyBorder="1"/>
    <xf numFmtId="0" fontId="7" fillId="0" borderId="2" xfId="0" applyFont="1" applyFill="1" applyBorder="1" applyAlignment="1">
      <alignment horizontal="left" vertical="top"/>
    </xf>
    <xf numFmtId="0" fontId="1" fillId="0" borderId="2" xfId="0" applyFont="1" applyBorder="1"/>
    <xf numFmtId="0" fontId="5" fillId="0" borderId="2" xfId="0" applyFont="1" applyBorder="1"/>
    <xf numFmtId="0" fontId="0" fillId="0" borderId="2" xfId="0" applyBorder="1" applyAlignment="1">
      <alignment horizontal="center"/>
    </xf>
    <xf numFmtId="164" fontId="0" fillId="0" borderId="2" xfId="0" applyNumberFormat="1" applyBorder="1" applyAlignment="1">
      <alignment horizontal="center"/>
    </xf>
  </cellXfs>
  <cellStyles count="1">
    <cellStyle name="Normal" xfId="0" builtinId="0"/>
  </cellStyles>
  <dxfs count="2">
    <dxf>
      <fill>
        <patternFill patternType="solid">
          <fgColor rgb="FF0070C0"/>
          <bgColor rgb="FF0070C0"/>
        </patternFill>
      </fill>
    </dxf>
    <dxf>
      <fill>
        <patternFill patternType="solid">
          <fgColor rgb="FF0070C0"/>
          <bgColor rgb="FF007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0"/>
  <sheetViews>
    <sheetView showGridLines="0" tabSelected="1" workbookViewId="0">
      <selection activeCell="B9" sqref="B9"/>
    </sheetView>
  </sheetViews>
  <sheetFormatPr defaultColWidth="12.5703125" defaultRowHeight="15" customHeight="1" x14ac:dyDescent="0.25"/>
  <cols>
    <col min="1" max="1" width="8.5703125" customWidth="1"/>
    <col min="3" max="18" width="8.5703125" customWidth="1"/>
    <col min="19" max="19" width="14.28515625" customWidth="1"/>
    <col min="20" max="23" width="8.5703125" customWidth="1"/>
  </cols>
  <sheetData>
    <row r="1" spans="1:19" x14ac:dyDescent="0.25">
      <c r="A1" s="7" t="s">
        <v>0</v>
      </c>
      <c r="B1" s="7" t="s">
        <v>35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</row>
    <row r="2" spans="1:19" x14ac:dyDescent="0.25">
      <c r="A2" s="1">
        <v>1208</v>
      </c>
      <c r="B2" s="9" t="s">
        <v>36</v>
      </c>
      <c r="C2" s="2">
        <v>1.2673796791443801</v>
      </c>
      <c r="D2" s="1" t="s">
        <v>18</v>
      </c>
      <c r="E2" s="1" t="s">
        <v>19</v>
      </c>
      <c r="F2" s="1">
        <v>11</v>
      </c>
      <c r="G2" s="1">
        <v>961.13499999999999</v>
      </c>
      <c r="H2" s="1">
        <v>202</v>
      </c>
      <c r="I2" s="1">
        <v>79</v>
      </c>
      <c r="J2" s="1">
        <v>123</v>
      </c>
      <c r="K2" s="3">
        <v>0.3910891089108911</v>
      </c>
      <c r="L2" s="2">
        <v>366.44303797468348</v>
      </c>
      <c r="M2" s="1">
        <v>59</v>
      </c>
      <c r="N2" s="2">
        <v>5.4455445544554455E-2</v>
      </c>
      <c r="O2" s="2">
        <v>4.7580940594059404</v>
      </c>
      <c r="P2" s="2">
        <v>77.014668772738545</v>
      </c>
      <c r="Q2" s="2">
        <v>77.014668772738545</v>
      </c>
      <c r="R2" s="4">
        <v>1</v>
      </c>
      <c r="S2" s="4" t="s">
        <v>20</v>
      </c>
    </row>
    <row r="3" spans="1:19" x14ac:dyDescent="0.25">
      <c r="A3" s="1">
        <v>3629</v>
      </c>
      <c r="B3" s="9" t="s">
        <v>38</v>
      </c>
      <c r="C3" s="2">
        <v>1.49749571562134</v>
      </c>
      <c r="D3" s="1" t="s">
        <v>18</v>
      </c>
      <c r="E3" s="1" t="s">
        <v>21</v>
      </c>
      <c r="F3" s="1">
        <v>112</v>
      </c>
      <c r="G3" s="1">
        <v>154.50700000000001</v>
      </c>
      <c r="H3" s="1">
        <v>144</v>
      </c>
      <c r="I3" s="1">
        <v>116</v>
      </c>
      <c r="J3" s="1">
        <v>28</v>
      </c>
      <c r="K3" s="3">
        <v>0.80555555555555558</v>
      </c>
      <c r="L3" s="2">
        <v>97.112068965517238</v>
      </c>
      <c r="M3" s="1">
        <v>28.5</v>
      </c>
      <c r="N3" s="2">
        <v>0.77777777777777779</v>
      </c>
      <c r="O3" s="2">
        <v>1.0729652777777778</v>
      </c>
      <c r="P3" s="2">
        <v>90.508118926873749</v>
      </c>
      <c r="Q3" s="2">
        <v>90.508118926873749</v>
      </c>
      <c r="R3" s="4">
        <v>1</v>
      </c>
      <c r="S3" s="4" t="s">
        <v>22</v>
      </c>
    </row>
    <row r="4" spans="1:19" x14ac:dyDescent="0.25">
      <c r="A4" s="1">
        <v>3652</v>
      </c>
      <c r="B4" s="9" t="s">
        <v>40</v>
      </c>
      <c r="C4" s="2">
        <v>1.0874739454815101</v>
      </c>
      <c r="D4" s="1" t="s">
        <v>23</v>
      </c>
      <c r="E4" s="1" t="s">
        <v>24</v>
      </c>
      <c r="F4" s="1">
        <v>223</v>
      </c>
      <c r="G4" s="1">
        <v>48.636000000000003</v>
      </c>
      <c r="H4" s="1">
        <v>618</v>
      </c>
      <c r="I4" s="1">
        <v>527</v>
      </c>
      <c r="J4" s="1">
        <v>91</v>
      </c>
      <c r="K4" s="3">
        <v>0.8527508090614887</v>
      </c>
      <c r="L4" s="2">
        <v>33.734345351043643</v>
      </c>
      <c r="M4" s="1">
        <v>24</v>
      </c>
      <c r="N4" s="2">
        <v>0.36084142394822005</v>
      </c>
      <c r="O4" s="2">
        <v>7.8699029126213599E-2</v>
      </c>
      <c r="P4" s="2">
        <v>428.65008279761844</v>
      </c>
      <c r="Q4" s="2">
        <v>428.65008279761844</v>
      </c>
      <c r="R4" s="4" t="s">
        <v>25</v>
      </c>
      <c r="S4" s="4" t="s">
        <v>22</v>
      </c>
    </row>
    <row r="5" spans="1:19" x14ac:dyDescent="0.25">
      <c r="A5" s="5">
        <v>3817</v>
      </c>
      <c r="B5" s="9" t="s">
        <v>41</v>
      </c>
      <c r="C5" s="2">
        <v>1.0079109225874801</v>
      </c>
      <c r="D5" s="1" t="s">
        <v>18</v>
      </c>
      <c r="E5" s="1" t="s">
        <v>21</v>
      </c>
      <c r="F5" s="1">
        <v>79</v>
      </c>
      <c r="G5" s="1">
        <v>66.930999999999997</v>
      </c>
      <c r="H5" s="1">
        <v>122</v>
      </c>
      <c r="I5" s="1">
        <v>73</v>
      </c>
      <c r="J5" s="1">
        <v>49</v>
      </c>
      <c r="K5" s="3">
        <v>0.59836065573770492</v>
      </c>
      <c r="L5" s="2">
        <v>70.698630136986296</v>
      </c>
      <c r="M5" s="1">
        <v>53</v>
      </c>
      <c r="N5" s="2">
        <v>0.64754098360655743</v>
      </c>
      <c r="O5" s="2">
        <v>0.54861475409836058</v>
      </c>
      <c r="P5" s="2">
        <v>128.86753338082991</v>
      </c>
      <c r="Q5" s="2">
        <v>128.86753338082991</v>
      </c>
      <c r="R5" s="4" t="s">
        <v>25</v>
      </c>
      <c r="S5" s="4" t="s">
        <v>26</v>
      </c>
    </row>
    <row r="6" spans="1:19" x14ac:dyDescent="0.25">
      <c r="A6" s="1">
        <v>4137</v>
      </c>
      <c r="B6" s="9" t="s">
        <v>42</v>
      </c>
      <c r="C6" s="2">
        <v>1.65170333569907</v>
      </c>
      <c r="D6" s="1" t="s">
        <v>18</v>
      </c>
      <c r="E6" s="1" t="s">
        <v>24</v>
      </c>
      <c r="F6" s="1">
        <v>62</v>
      </c>
      <c r="G6" s="1">
        <v>1.3049999999999999</v>
      </c>
      <c r="H6" s="1">
        <v>341</v>
      </c>
      <c r="I6" s="1">
        <v>321</v>
      </c>
      <c r="J6" s="1">
        <v>20</v>
      </c>
      <c r="K6" s="3">
        <v>0.94134897360703818</v>
      </c>
      <c r="L6" s="2">
        <v>41.242990654205613</v>
      </c>
      <c r="M6" s="1">
        <v>37</v>
      </c>
      <c r="N6" s="2">
        <v>0.18181818181818182</v>
      </c>
      <c r="O6" s="2">
        <v>3.8269794721407621E-3</v>
      </c>
      <c r="P6" s="2">
        <v>10776.904071328823</v>
      </c>
      <c r="Q6" s="2">
        <v>10776.904071328823</v>
      </c>
      <c r="R6" s="4">
        <v>1</v>
      </c>
      <c r="S6" s="4" t="s">
        <v>20</v>
      </c>
    </row>
    <row r="7" spans="1:19" x14ac:dyDescent="0.25">
      <c r="A7" s="1">
        <v>4196</v>
      </c>
      <c r="B7" s="9" t="s">
        <v>37</v>
      </c>
      <c r="C7" s="2">
        <v>1.02755064194358</v>
      </c>
      <c r="D7" s="1" t="s">
        <v>18</v>
      </c>
      <c r="E7" s="1" t="s">
        <v>24</v>
      </c>
      <c r="F7" s="1">
        <v>51</v>
      </c>
      <c r="G7" s="1">
        <v>0.74299999999999999</v>
      </c>
      <c r="H7" s="1">
        <v>62</v>
      </c>
      <c r="I7" s="1">
        <v>59</v>
      </c>
      <c r="J7" s="1">
        <v>3</v>
      </c>
      <c r="K7" s="3">
        <v>0.95161290322580649</v>
      </c>
      <c r="L7" s="2">
        <v>89.694915254237287</v>
      </c>
      <c r="M7" s="1">
        <v>85</v>
      </c>
      <c r="N7" s="2">
        <v>0.82258064516129037</v>
      </c>
      <c r="O7" s="2">
        <v>1.1983870967741936E-2</v>
      </c>
      <c r="P7" s="2">
        <v>7484.6362661678486</v>
      </c>
      <c r="Q7" s="2">
        <v>7484.6362661678486</v>
      </c>
      <c r="R7" s="4">
        <v>2</v>
      </c>
      <c r="S7" s="4" t="s">
        <v>20</v>
      </c>
    </row>
    <row r="8" spans="1:19" x14ac:dyDescent="0.25">
      <c r="A8" s="1">
        <v>4524</v>
      </c>
      <c r="B8" s="9" t="s">
        <v>43</v>
      </c>
      <c r="C8" s="2">
        <v>1.35702746365105</v>
      </c>
      <c r="D8" s="1" t="s">
        <v>18</v>
      </c>
      <c r="E8" s="1" t="s">
        <v>27</v>
      </c>
      <c r="F8" s="1">
        <v>62</v>
      </c>
      <c r="G8" s="1">
        <v>9.9559999999999995</v>
      </c>
      <c r="H8" s="1">
        <v>183</v>
      </c>
      <c r="I8" s="1">
        <v>168</v>
      </c>
      <c r="J8" s="1">
        <v>15</v>
      </c>
      <c r="K8" s="3">
        <v>0.91803278688524592</v>
      </c>
      <c r="L8" s="2">
        <v>91.351190476190482</v>
      </c>
      <c r="M8" s="1">
        <v>70.5</v>
      </c>
      <c r="N8" s="2">
        <v>0.33879781420765026</v>
      </c>
      <c r="O8" s="2">
        <v>5.4404371584699449E-2</v>
      </c>
      <c r="P8" s="2">
        <v>1679.1148912357232</v>
      </c>
      <c r="Q8" s="2">
        <v>1679.1148912357232</v>
      </c>
      <c r="R8" s="4">
        <v>1</v>
      </c>
      <c r="S8" s="4" t="s">
        <v>22</v>
      </c>
    </row>
    <row r="9" spans="1:19" x14ac:dyDescent="0.25">
      <c r="A9" s="1">
        <v>4840</v>
      </c>
      <c r="B9" s="9" t="s">
        <v>39</v>
      </c>
      <c r="C9" s="2">
        <v>1.0050165860553599</v>
      </c>
      <c r="D9" s="1" t="s">
        <v>18</v>
      </c>
      <c r="E9" s="1" t="s">
        <v>19</v>
      </c>
      <c r="F9" s="1">
        <v>336</v>
      </c>
      <c r="G9" s="1">
        <v>594.00699999999995</v>
      </c>
      <c r="H9" s="1">
        <v>2318</v>
      </c>
      <c r="I9" s="1">
        <v>2097</v>
      </c>
      <c r="J9" s="1">
        <v>221</v>
      </c>
      <c r="K9" s="3">
        <v>0.90465918895599651</v>
      </c>
      <c r="L9" s="2">
        <v>26.239389604196472</v>
      </c>
      <c r="M9" s="1">
        <v>21</v>
      </c>
      <c r="N9" s="2">
        <v>0.1449525452976704</v>
      </c>
      <c r="O9" s="2">
        <v>0.25625841242450387</v>
      </c>
      <c r="P9" s="2">
        <v>102.39425646924603</v>
      </c>
      <c r="Q9" s="2">
        <v>102.39425646924603</v>
      </c>
      <c r="R9" s="4" t="s">
        <v>25</v>
      </c>
      <c r="S9" s="4" t="s">
        <v>26</v>
      </c>
    </row>
    <row r="10" spans="1:19" x14ac:dyDescent="0.25">
      <c r="A10" s="1">
        <v>4906</v>
      </c>
      <c r="B10" s="9" t="s">
        <v>44</v>
      </c>
      <c r="C10" s="2">
        <v>1.0091981596570401</v>
      </c>
      <c r="D10" s="1" t="s">
        <v>18</v>
      </c>
      <c r="E10" s="1" t="s">
        <v>19</v>
      </c>
      <c r="F10" s="1">
        <v>35</v>
      </c>
      <c r="G10" s="1">
        <v>954.43499999999995</v>
      </c>
      <c r="H10" s="1">
        <v>780</v>
      </c>
      <c r="I10" s="1">
        <v>505</v>
      </c>
      <c r="J10" s="1">
        <v>275</v>
      </c>
      <c r="K10" s="3">
        <v>0.64743589743589747</v>
      </c>
      <c r="L10" s="2">
        <v>27.536633663366342</v>
      </c>
      <c r="M10" s="1">
        <v>15</v>
      </c>
      <c r="N10" s="2">
        <v>4.4871794871794872E-2</v>
      </c>
      <c r="O10" s="2">
        <v>1.2236346153846154</v>
      </c>
      <c r="P10" s="2">
        <v>22.503967538308785</v>
      </c>
      <c r="Q10" s="2">
        <v>22.503967538308785</v>
      </c>
      <c r="R10" s="4" t="s">
        <v>25</v>
      </c>
      <c r="S10" s="4" t="s">
        <v>26</v>
      </c>
    </row>
    <row r="11" spans="1:19" x14ac:dyDescent="0.25">
      <c r="A11" s="1">
        <v>5229</v>
      </c>
      <c r="B11" s="9" t="s">
        <v>45</v>
      </c>
      <c r="C11" s="2">
        <v>1.11157971996386</v>
      </c>
      <c r="D11" s="1" t="s">
        <v>18</v>
      </c>
      <c r="E11" s="1" t="s">
        <v>21</v>
      </c>
      <c r="F11" s="1">
        <v>67</v>
      </c>
      <c r="G11" s="1">
        <v>3.8</v>
      </c>
      <c r="H11" s="1">
        <v>188</v>
      </c>
      <c r="I11" s="1">
        <v>142</v>
      </c>
      <c r="J11" s="1">
        <v>46</v>
      </c>
      <c r="K11" s="3">
        <v>0.75531914893617025</v>
      </c>
      <c r="L11" s="2">
        <v>30.5</v>
      </c>
      <c r="M11" s="1">
        <v>18</v>
      </c>
      <c r="N11" s="2">
        <v>0.35638297872340424</v>
      </c>
      <c r="O11" s="2">
        <v>2.0212765957446806E-2</v>
      </c>
      <c r="P11" s="2">
        <v>1508.9473684210527</v>
      </c>
      <c r="Q11" s="2">
        <v>1508.9473684210527</v>
      </c>
      <c r="R11" s="4" t="s">
        <v>25</v>
      </c>
      <c r="S11" s="4" t="s">
        <v>26</v>
      </c>
    </row>
    <row r="12" spans="1:19" x14ac:dyDescent="0.25">
      <c r="A12" s="1">
        <v>5231</v>
      </c>
      <c r="B12" s="9" t="s">
        <v>46</v>
      </c>
      <c r="C12" s="2">
        <v>1.0064137611977899</v>
      </c>
      <c r="D12" s="1" t="s">
        <v>18</v>
      </c>
      <c r="E12" s="1" t="s">
        <v>21</v>
      </c>
      <c r="F12" s="1">
        <v>70</v>
      </c>
      <c r="G12" s="1">
        <v>8.0269999999999992</v>
      </c>
      <c r="H12" s="1">
        <v>118</v>
      </c>
      <c r="I12" s="1">
        <v>106</v>
      </c>
      <c r="J12" s="1">
        <v>12</v>
      </c>
      <c r="K12" s="3">
        <v>0.89830508474576276</v>
      </c>
      <c r="L12" s="2">
        <v>66.273584905660371</v>
      </c>
      <c r="M12" s="1">
        <v>50</v>
      </c>
      <c r="N12" s="2">
        <v>0.59322033898305082</v>
      </c>
      <c r="O12" s="2">
        <v>6.8025423728813553E-2</v>
      </c>
      <c r="P12" s="2">
        <v>974.24729274547451</v>
      </c>
      <c r="Q12" s="2">
        <v>974.24729274547451</v>
      </c>
      <c r="R12" s="4" t="s">
        <v>25</v>
      </c>
      <c r="S12" s="4" t="s">
        <v>20</v>
      </c>
    </row>
    <row r="13" spans="1:19" x14ac:dyDescent="0.25">
      <c r="A13" s="1">
        <v>5470</v>
      </c>
      <c r="B13" s="9" t="s">
        <v>47</v>
      </c>
      <c r="C13" s="2">
        <v>1.00819569179688</v>
      </c>
      <c r="D13" s="1" t="s">
        <v>18</v>
      </c>
      <c r="E13" s="1" t="s">
        <v>21</v>
      </c>
      <c r="F13" s="1">
        <v>35</v>
      </c>
      <c r="G13" s="1">
        <v>907.654</v>
      </c>
      <c r="H13" s="1">
        <v>732</v>
      </c>
      <c r="I13" s="1">
        <v>626</v>
      </c>
      <c r="J13" s="1">
        <v>106</v>
      </c>
      <c r="K13" s="3">
        <v>0.85519125683060104</v>
      </c>
      <c r="L13" s="2">
        <v>79.511182108626201</v>
      </c>
      <c r="M13" s="1">
        <v>63</v>
      </c>
      <c r="N13" s="2">
        <v>4.7814207650273222E-2</v>
      </c>
      <c r="O13" s="2">
        <v>1.2399644808743169</v>
      </c>
      <c r="P13" s="2">
        <v>64.123757845516437</v>
      </c>
      <c r="Q13" s="2">
        <v>64.123757845516437</v>
      </c>
      <c r="R13" s="4" t="s">
        <v>25</v>
      </c>
      <c r="S13" s="4" t="s">
        <v>26</v>
      </c>
    </row>
    <row r="14" spans="1:19" x14ac:dyDescent="0.25">
      <c r="A14" s="1">
        <v>5760</v>
      </c>
      <c r="B14" s="9" t="s">
        <v>48</v>
      </c>
      <c r="C14" s="2">
        <v>1.06509035285577</v>
      </c>
      <c r="D14" s="1" t="s">
        <v>18</v>
      </c>
      <c r="E14" s="1" t="s">
        <v>21</v>
      </c>
      <c r="F14" s="1">
        <v>123</v>
      </c>
      <c r="G14" s="1">
        <v>32.991</v>
      </c>
      <c r="H14" s="1">
        <v>405</v>
      </c>
      <c r="I14" s="1">
        <v>393</v>
      </c>
      <c r="J14" s="1">
        <v>12</v>
      </c>
      <c r="K14" s="3">
        <v>0.97037037037037033</v>
      </c>
      <c r="L14" s="2">
        <v>33.755725190839698</v>
      </c>
      <c r="M14" s="1">
        <v>33</v>
      </c>
      <c r="N14" s="2">
        <v>0.3037037037037037</v>
      </c>
      <c r="O14" s="2">
        <v>8.1459259259259259E-2</v>
      </c>
      <c r="P14" s="2">
        <v>414.38782402140214</v>
      </c>
      <c r="Q14" s="2">
        <v>414.38782402140214</v>
      </c>
      <c r="R14" s="4">
        <v>2</v>
      </c>
      <c r="S14" s="4" t="s">
        <v>26</v>
      </c>
    </row>
    <row r="15" spans="1:19" x14ac:dyDescent="0.25">
      <c r="A15" s="1">
        <v>5763</v>
      </c>
      <c r="B15" s="9" t="s">
        <v>49</v>
      </c>
      <c r="C15" s="2">
        <v>1.0986141263182201</v>
      </c>
      <c r="D15" s="1" t="s">
        <v>18</v>
      </c>
      <c r="E15" s="1" t="s">
        <v>21</v>
      </c>
      <c r="F15" s="1">
        <v>123</v>
      </c>
      <c r="G15" s="1">
        <v>25.678000000000001</v>
      </c>
      <c r="H15" s="1">
        <v>392</v>
      </c>
      <c r="I15" s="1">
        <v>370</v>
      </c>
      <c r="J15" s="1">
        <v>22</v>
      </c>
      <c r="K15" s="3">
        <v>0.94387755102040816</v>
      </c>
      <c r="L15" s="2">
        <v>25.405405405405411</v>
      </c>
      <c r="M15" s="1">
        <v>22</v>
      </c>
      <c r="N15" s="2">
        <v>0.31377551020408162</v>
      </c>
      <c r="O15" s="2">
        <v>6.5505102040816332E-2</v>
      </c>
      <c r="P15" s="2">
        <v>387.83857461324556</v>
      </c>
      <c r="Q15" s="2">
        <v>387.83857461324556</v>
      </c>
      <c r="R15" s="4">
        <v>1</v>
      </c>
      <c r="S15" s="4" t="s">
        <v>22</v>
      </c>
    </row>
    <row r="16" spans="1:19" x14ac:dyDescent="0.25">
      <c r="A16" s="1">
        <v>6211</v>
      </c>
      <c r="B16" s="9" t="s">
        <v>50</v>
      </c>
      <c r="C16" s="2">
        <v>1.10148514851485</v>
      </c>
      <c r="D16" s="1" t="s">
        <v>18</v>
      </c>
      <c r="E16" s="1" t="s">
        <v>19</v>
      </c>
      <c r="F16" s="1">
        <v>81</v>
      </c>
      <c r="G16" s="1">
        <v>91.507000000000005</v>
      </c>
      <c r="H16" s="1">
        <v>374</v>
      </c>
      <c r="I16" s="1">
        <v>89</v>
      </c>
      <c r="J16" s="1">
        <v>285</v>
      </c>
      <c r="K16" s="3">
        <v>0.23796791443850268</v>
      </c>
      <c r="L16" s="2">
        <v>14.79775280898876</v>
      </c>
      <c r="M16" s="1">
        <v>7</v>
      </c>
      <c r="N16" s="2">
        <v>0.21657754010695188</v>
      </c>
      <c r="O16" s="2">
        <v>0.24467112299465241</v>
      </c>
      <c r="P16" s="2">
        <v>60.480176932494736</v>
      </c>
      <c r="Q16" s="2">
        <v>60.480176932494736</v>
      </c>
      <c r="R16" s="4">
        <v>1</v>
      </c>
      <c r="S16" s="4" t="s">
        <v>22</v>
      </c>
    </row>
    <row r="17" spans="1:19" x14ac:dyDescent="0.25">
      <c r="A17" s="1">
        <v>6447</v>
      </c>
      <c r="B17" s="9" t="s">
        <v>51</v>
      </c>
      <c r="C17" s="2">
        <v>1.125</v>
      </c>
      <c r="D17" s="1" t="s">
        <v>18</v>
      </c>
      <c r="E17" s="1" t="s">
        <v>19</v>
      </c>
      <c r="F17" s="1">
        <v>2</v>
      </c>
      <c r="G17" s="1">
        <v>5.7519999999999998</v>
      </c>
      <c r="H17" s="1">
        <v>9</v>
      </c>
      <c r="I17" s="1">
        <v>6</v>
      </c>
      <c r="J17" s="1">
        <v>3</v>
      </c>
      <c r="K17" s="3">
        <v>0.66666666666666663</v>
      </c>
      <c r="L17" s="2">
        <v>183.83333333333329</v>
      </c>
      <c r="M17" s="1">
        <v>3.5</v>
      </c>
      <c r="N17" s="2">
        <v>0.22222222222222221</v>
      </c>
      <c r="O17" s="2">
        <v>0.63911111111111107</v>
      </c>
      <c r="P17" s="2">
        <v>287.63908205841437</v>
      </c>
      <c r="Q17" s="2">
        <v>287.63908205841437</v>
      </c>
      <c r="R17" s="4" t="s">
        <v>25</v>
      </c>
      <c r="S17" s="4" t="s">
        <v>20</v>
      </c>
    </row>
    <row r="18" spans="1:19" x14ac:dyDescent="0.25">
      <c r="A18" s="1">
        <v>6464</v>
      </c>
      <c r="B18" s="9" t="s">
        <v>52</v>
      </c>
      <c r="C18" s="2">
        <v>1.0370370370370301</v>
      </c>
      <c r="D18" s="1" t="s">
        <v>18</v>
      </c>
      <c r="E18" s="1" t="s">
        <v>19</v>
      </c>
      <c r="F18" s="1">
        <v>2</v>
      </c>
      <c r="G18" s="1">
        <v>9.1029999999999998</v>
      </c>
      <c r="H18" s="1">
        <v>12</v>
      </c>
      <c r="I18" s="1">
        <v>11</v>
      </c>
      <c r="J18" s="1">
        <v>1</v>
      </c>
      <c r="K18" s="3">
        <v>0.91666666666666663</v>
      </c>
      <c r="L18" s="2">
        <v>71.909090909090907</v>
      </c>
      <c r="M18" s="1">
        <v>31</v>
      </c>
      <c r="N18" s="2">
        <v>0.16666666666666666</v>
      </c>
      <c r="O18" s="2">
        <v>0.75858333333333328</v>
      </c>
      <c r="P18" s="2">
        <v>94.793924080972303</v>
      </c>
      <c r="Q18" s="2">
        <v>94.793924080972303</v>
      </c>
      <c r="R18" s="4" t="s">
        <v>25</v>
      </c>
      <c r="S18" s="4" t="s">
        <v>20</v>
      </c>
    </row>
    <row r="19" spans="1:19" x14ac:dyDescent="0.25">
      <c r="A19" s="1">
        <v>6512</v>
      </c>
      <c r="B19" s="9" t="s">
        <v>53</v>
      </c>
      <c r="C19" s="2">
        <v>1.09375</v>
      </c>
      <c r="D19" s="1" t="s">
        <v>18</v>
      </c>
      <c r="E19" s="1" t="s">
        <v>19</v>
      </c>
      <c r="F19" s="1">
        <v>3</v>
      </c>
      <c r="G19" s="1">
        <v>6.2439999999999998</v>
      </c>
      <c r="H19" s="1">
        <v>6</v>
      </c>
      <c r="I19" s="1">
        <v>5</v>
      </c>
      <c r="J19" s="1">
        <v>1</v>
      </c>
      <c r="K19" s="3">
        <v>0.83333333333333337</v>
      </c>
      <c r="L19" s="2">
        <v>140.19999999999999</v>
      </c>
      <c r="M19" s="1">
        <v>18</v>
      </c>
      <c r="N19" s="2">
        <v>0.5</v>
      </c>
      <c r="O19" s="2">
        <v>1.0406666666666666</v>
      </c>
      <c r="P19" s="2">
        <v>134.72133247918001</v>
      </c>
      <c r="Q19" s="2">
        <v>134.72133247918001</v>
      </c>
      <c r="R19" s="4" t="s">
        <v>25</v>
      </c>
      <c r="S19" s="4" t="s">
        <v>20</v>
      </c>
    </row>
    <row r="20" spans="1:19" x14ac:dyDescent="0.25">
      <c r="A20" s="1">
        <v>6522</v>
      </c>
      <c r="B20" s="9" t="s">
        <v>54</v>
      </c>
      <c r="C20" s="2">
        <v>1.0387999999999999</v>
      </c>
      <c r="D20" s="1" t="s">
        <v>18</v>
      </c>
      <c r="E20" s="1" t="s">
        <v>19</v>
      </c>
      <c r="F20" s="1">
        <v>2</v>
      </c>
      <c r="G20" s="1">
        <v>9.9450000000000003</v>
      </c>
      <c r="H20" s="1">
        <v>12</v>
      </c>
      <c r="I20" s="1">
        <v>8</v>
      </c>
      <c r="J20" s="1">
        <v>4</v>
      </c>
      <c r="K20" s="3">
        <v>0.66666666666666663</v>
      </c>
      <c r="L20" s="2">
        <v>296.75</v>
      </c>
      <c r="M20" s="1">
        <v>89</v>
      </c>
      <c r="N20" s="2">
        <v>0.16666666666666666</v>
      </c>
      <c r="O20" s="2">
        <v>0.82874999999999999</v>
      </c>
      <c r="P20" s="2">
        <v>358.06938159879337</v>
      </c>
      <c r="Q20" s="2">
        <v>358.06938159879337</v>
      </c>
      <c r="R20" s="4" t="s">
        <v>25</v>
      </c>
      <c r="S20" s="4" t="s">
        <v>20</v>
      </c>
    </row>
    <row r="21" spans="1:19" ht="15.75" customHeight="1" x14ac:dyDescent="0.25">
      <c r="A21" s="1">
        <v>6523</v>
      </c>
      <c r="B21" s="9" t="s">
        <v>55</v>
      </c>
      <c r="C21" s="2">
        <v>1.06717689367185</v>
      </c>
      <c r="D21" s="1" t="s">
        <v>18</v>
      </c>
      <c r="E21" s="1" t="s">
        <v>19</v>
      </c>
      <c r="F21" s="1">
        <v>2</v>
      </c>
      <c r="G21" s="1">
        <v>5.952</v>
      </c>
      <c r="H21" s="1">
        <v>23</v>
      </c>
      <c r="I21" s="1">
        <v>19</v>
      </c>
      <c r="J21" s="1">
        <v>4</v>
      </c>
      <c r="K21" s="3">
        <v>0.82608695652173914</v>
      </c>
      <c r="L21" s="2">
        <v>138.0526315789474</v>
      </c>
      <c r="M21" s="1">
        <v>98</v>
      </c>
      <c r="N21" s="2">
        <v>8.6956521739130432E-2</v>
      </c>
      <c r="O21" s="2">
        <v>0.25878260869565217</v>
      </c>
      <c r="P21" s="2">
        <v>533.46951046972276</v>
      </c>
      <c r="Q21" s="2">
        <v>533.46951046972276</v>
      </c>
      <c r="R21" s="4" t="s">
        <v>25</v>
      </c>
      <c r="S21" s="4" t="s">
        <v>20</v>
      </c>
    </row>
    <row r="22" spans="1:19" ht="15.75" customHeight="1" x14ac:dyDescent="0.25">
      <c r="A22" s="1">
        <v>6526</v>
      </c>
      <c r="B22" s="9" t="s">
        <v>56</v>
      </c>
      <c r="C22" s="2">
        <v>1.0204533611255799</v>
      </c>
      <c r="D22" s="1" t="s">
        <v>18</v>
      </c>
      <c r="E22" s="1" t="s">
        <v>19</v>
      </c>
      <c r="F22" s="1">
        <v>2</v>
      </c>
      <c r="G22" s="1">
        <v>6.1589999999999998</v>
      </c>
      <c r="H22" s="1">
        <v>9</v>
      </c>
      <c r="I22" s="1">
        <v>7</v>
      </c>
      <c r="J22" s="1">
        <v>2</v>
      </c>
      <c r="K22" s="3">
        <v>0.77777777777777779</v>
      </c>
      <c r="L22" s="2">
        <v>160.14285714285711</v>
      </c>
      <c r="M22" s="1">
        <v>150</v>
      </c>
      <c r="N22" s="2">
        <v>0.22222222222222221</v>
      </c>
      <c r="O22" s="2">
        <v>0.68433333333333335</v>
      </c>
      <c r="P22" s="2">
        <v>234.01294273189058</v>
      </c>
      <c r="Q22" s="2">
        <v>234.01294273189058</v>
      </c>
      <c r="R22" s="4" t="s">
        <v>25</v>
      </c>
      <c r="S22" s="4" t="s">
        <v>20</v>
      </c>
    </row>
    <row r="23" spans="1:19" ht="15.75" customHeight="1" x14ac:dyDescent="0.25">
      <c r="A23" s="1">
        <v>6527</v>
      </c>
      <c r="B23" s="9" t="s">
        <v>57</v>
      </c>
      <c r="C23" s="2">
        <v>1.0743541272841799</v>
      </c>
      <c r="D23" s="1" t="s">
        <v>18</v>
      </c>
      <c r="E23" s="1" t="s">
        <v>19</v>
      </c>
      <c r="F23" s="1">
        <v>2</v>
      </c>
      <c r="G23" s="1">
        <v>5.4589999999999996</v>
      </c>
      <c r="H23" s="1">
        <v>15</v>
      </c>
      <c r="I23" s="1">
        <v>11</v>
      </c>
      <c r="J23" s="1">
        <v>4</v>
      </c>
      <c r="K23" s="3">
        <v>0.73333333333333328</v>
      </c>
      <c r="L23" s="2">
        <v>65.181818181818187</v>
      </c>
      <c r="M23" s="1">
        <v>52</v>
      </c>
      <c r="N23" s="2">
        <v>0.13333333333333333</v>
      </c>
      <c r="O23" s="2">
        <v>0.36393333333333333</v>
      </c>
      <c r="P23" s="2">
        <v>179.10373195223903</v>
      </c>
      <c r="Q23" s="2">
        <v>179.10373195223903</v>
      </c>
      <c r="R23" s="4" t="s">
        <v>25</v>
      </c>
      <c r="S23" s="4" t="s">
        <v>20</v>
      </c>
    </row>
    <row r="24" spans="1:19" ht="15.75" customHeight="1" x14ac:dyDescent="0.25">
      <c r="A24" s="1">
        <v>6530</v>
      </c>
      <c r="B24" s="9" t="s">
        <v>58</v>
      </c>
      <c r="C24" s="2">
        <v>1.1093304843304801</v>
      </c>
      <c r="D24" s="1" t="s">
        <v>18</v>
      </c>
      <c r="E24" s="1" t="s">
        <v>19</v>
      </c>
      <c r="F24" s="1">
        <v>2</v>
      </c>
      <c r="G24" s="1">
        <v>6.6</v>
      </c>
      <c r="H24" s="1">
        <v>18</v>
      </c>
      <c r="I24" s="1">
        <v>15</v>
      </c>
      <c r="J24" s="1">
        <v>3</v>
      </c>
      <c r="K24" s="3">
        <v>0.83333333333333337</v>
      </c>
      <c r="L24" s="2">
        <v>96.2</v>
      </c>
      <c r="M24" s="1">
        <v>25</v>
      </c>
      <c r="N24" s="2">
        <v>0.1111111111111111</v>
      </c>
      <c r="O24" s="2">
        <v>0.36666666666666664</v>
      </c>
      <c r="P24" s="2">
        <v>262.36363636363637</v>
      </c>
      <c r="Q24" s="2">
        <v>262.36363636363637</v>
      </c>
      <c r="R24" s="4" t="s">
        <v>25</v>
      </c>
      <c r="S24" s="4" t="s">
        <v>20</v>
      </c>
    </row>
    <row r="25" spans="1:19" ht="15.75" customHeight="1" x14ac:dyDescent="0.25">
      <c r="A25" s="1">
        <v>6589</v>
      </c>
      <c r="B25" s="9" t="s">
        <v>59</v>
      </c>
      <c r="C25" s="2">
        <v>1.13116197183098</v>
      </c>
      <c r="D25" s="1" t="s">
        <v>18</v>
      </c>
      <c r="E25" s="1" t="s">
        <v>19</v>
      </c>
      <c r="F25" s="1">
        <v>2</v>
      </c>
      <c r="G25" s="1">
        <v>5.8689999999999998</v>
      </c>
      <c r="H25" s="1">
        <v>12</v>
      </c>
      <c r="I25" s="1">
        <v>6</v>
      </c>
      <c r="J25" s="1">
        <v>6</v>
      </c>
      <c r="K25" s="3">
        <v>0.5</v>
      </c>
      <c r="L25" s="2">
        <v>20.5</v>
      </c>
      <c r="M25" s="1">
        <v>13</v>
      </c>
      <c r="N25" s="2">
        <v>0.16666666666666666</v>
      </c>
      <c r="O25" s="2">
        <v>0.48908333333333331</v>
      </c>
      <c r="P25" s="2">
        <v>41.915147384562957</v>
      </c>
      <c r="Q25" s="2">
        <v>41.915147384562957</v>
      </c>
      <c r="R25" s="4" t="s">
        <v>25</v>
      </c>
      <c r="S25" s="4" t="s">
        <v>20</v>
      </c>
    </row>
    <row r="26" spans="1:19" ht="15.75" customHeight="1" x14ac:dyDescent="0.25">
      <c r="A26" s="1">
        <v>6604</v>
      </c>
      <c r="B26" s="9" t="s">
        <v>60</v>
      </c>
      <c r="C26" s="2">
        <v>1.1045454545454501</v>
      </c>
      <c r="D26" s="1" t="s">
        <v>18</v>
      </c>
      <c r="E26" s="1" t="s">
        <v>19</v>
      </c>
      <c r="F26" s="1">
        <v>2</v>
      </c>
      <c r="G26" s="1">
        <v>9.4009999999999998</v>
      </c>
      <c r="H26" s="1">
        <v>12</v>
      </c>
      <c r="I26" s="1">
        <v>10</v>
      </c>
      <c r="J26" s="1">
        <v>2</v>
      </c>
      <c r="K26" s="3">
        <v>0.83333333333333337</v>
      </c>
      <c r="L26" s="2">
        <v>93.2</v>
      </c>
      <c r="M26" s="1">
        <v>58</v>
      </c>
      <c r="N26" s="2">
        <v>0.16666666666666666</v>
      </c>
      <c r="O26" s="2">
        <v>0.78341666666666665</v>
      </c>
      <c r="P26" s="2">
        <v>118.96606743963409</v>
      </c>
      <c r="Q26" s="2">
        <v>118.96606743963409</v>
      </c>
      <c r="R26" s="4" t="s">
        <v>25</v>
      </c>
      <c r="S26" s="4" t="s">
        <v>20</v>
      </c>
    </row>
    <row r="27" spans="1:19" ht="15.75" customHeight="1" x14ac:dyDescent="0.25">
      <c r="A27" s="1">
        <v>6620</v>
      </c>
      <c r="B27" s="9" t="s">
        <v>61</v>
      </c>
      <c r="C27" s="2">
        <v>1.0588235294117601</v>
      </c>
      <c r="D27" s="1" t="s">
        <v>18</v>
      </c>
      <c r="E27" s="1" t="s">
        <v>19</v>
      </c>
      <c r="F27" s="1">
        <v>2</v>
      </c>
      <c r="G27" s="1">
        <v>5.6289999999999996</v>
      </c>
      <c r="H27" s="1">
        <v>9</v>
      </c>
      <c r="I27" s="1">
        <v>4</v>
      </c>
      <c r="J27" s="1">
        <v>5</v>
      </c>
      <c r="K27" s="3">
        <v>0.44444444444444442</v>
      </c>
      <c r="L27" s="2">
        <v>96.25</v>
      </c>
      <c r="M27" s="1">
        <v>30</v>
      </c>
      <c r="N27" s="2">
        <v>0.22222222222222221</v>
      </c>
      <c r="O27" s="2">
        <v>0.62544444444444436</v>
      </c>
      <c r="P27" s="2">
        <v>153.89056670811868</v>
      </c>
      <c r="Q27" s="2">
        <v>153.89056670811868</v>
      </c>
      <c r="R27" s="4" t="s">
        <v>25</v>
      </c>
      <c r="S27" s="4" t="s">
        <v>20</v>
      </c>
    </row>
    <row r="28" spans="1:19" ht="15.75" customHeight="1" x14ac:dyDescent="0.25">
      <c r="A28" s="1">
        <v>6641</v>
      </c>
      <c r="B28" s="9" t="s">
        <v>62</v>
      </c>
      <c r="C28" s="2">
        <v>1.1136558057625201</v>
      </c>
      <c r="D28" s="1" t="s">
        <v>18</v>
      </c>
      <c r="E28" s="1" t="s">
        <v>19</v>
      </c>
      <c r="F28" s="1">
        <v>28</v>
      </c>
      <c r="G28" s="1">
        <v>1279.903</v>
      </c>
      <c r="H28" s="1">
        <v>667</v>
      </c>
      <c r="I28" s="1">
        <v>537</v>
      </c>
      <c r="J28" s="1">
        <v>130</v>
      </c>
      <c r="K28" s="3">
        <v>0.80509745127436283</v>
      </c>
      <c r="L28" s="2">
        <v>32.456238361266287</v>
      </c>
      <c r="M28" s="1">
        <v>22</v>
      </c>
      <c r="N28" s="2">
        <v>4.1979010494752625E-2</v>
      </c>
      <c r="O28" s="2">
        <v>1.9188950524737631</v>
      </c>
      <c r="P28" s="2">
        <v>16.914024724502259</v>
      </c>
      <c r="Q28" s="2">
        <v>16.914024724502259</v>
      </c>
      <c r="R28" s="4" t="s">
        <v>25</v>
      </c>
      <c r="S28" s="4" t="s">
        <v>26</v>
      </c>
    </row>
    <row r="29" spans="1:19" ht="15.75" customHeight="1" x14ac:dyDescent="0.25">
      <c r="A29" s="1">
        <v>6666</v>
      </c>
      <c r="B29" s="9" t="s">
        <v>63</v>
      </c>
      <c r="C29" s="2">
        <v>1.1000000000000001</v>
      </c>
      <c r="D29" s="1" t="s">
        <v>18</v>
      </c>
      <c r="E29" s="1" t="s">
        <v>19</v>
      </c>
      <c r="F29" s="1">
        <v>2</v>
      </c>
      <c r="G29" s="1">
        <v>7.26</v>
      </c>
      <c r="H29" s="1">
        <v>12</v>
      </c>
      <c r="I29" s="1">
        <v>4</v>
      </c>
      <c r="J29" s="1">
        <v>8</v>
      </c>
      <c r="K29" s="3">
        <v>0.33333333333333331</v>
      </c>
      <c r="L29" s="2">
        <v>41.75</v>
      </c>
      <c r="M29" s="1">
        <v>30.5</v>
      </c>
      <c r="N29" s="2">
        <v>0.16666666666666666</v>
      </c>
      <c r="O29" s="2">
        <v>0.60499999999999998</v>
      </c>
      <c r="P29" s="2">
        <v>69.008264462809919</v>
      </c>
      <c r="Q29" s="2">
        <v>69.008264462809919</v>
      </c>
      <c r="R29" s="4" t="s">
        <v>25</v>
      </c>
      <c r="S29" s="4" t="s">
        <v>20</v>
      </c>
    </row>
    <row r="30" spans="1:19" ht="15.75" customHeight="1" x14ac:dyDescent="0.25">
      <c r="A30" s="1">
        <v>6708</v>
      </c>
      <c r="B30" s="9" t="s">
        <v>64</v>
      </c>
      <c r="C30" s="2">
        <v>1.3203761755485801</v>
      </c>
      <c r="D30" s="1" t="s">
        <v>18</v>
      </c>
      <c r="E30" s="1" t="s">
        <v>19</v>
      </c>
      <c r="F30" s="1">
        <v>2</v>
      </c>
      <c r="G30" s="1">
        <v>11.647</v>
      </c>
      <c r="H30" s="1">
        <v>16</v>
      </c>
      <c r="I30" s="1">
        <v>13</v>
      </c>
      <c r="J30" s="1">
        <v>3</v>
      </c>
      <c r="K30" s="3">
        <v>0.8125</v>
      </c>
      <c r="L30" s="2">
        <v>107.30769230769231</v>
      </c>
      <c r="M30" s="1">
        <v>72</v>
      </c>
      <c r="N30" s="2">
        <v>0.125</v>
      </c>
      <c r="O30" s="2">
        <v>0.72793750000000002</v>
      </c>
      <c r="P30" s="2">
        <v>147.4133319243648</v>
      </c>
      <c r="Q30" s="2">
        <v>147.4133319243648</v>
      </c>
      <c r="R30" s="4" t="s">
        <v>25</v>
      </c>
      <c r="S30" s="4" t="s">
        <v>20</v>
      </c>
    </row>
    <row r="31" spans="1:19" ht="15.75" customHeight="1" x14ac:dyDescent="0.25">
      <c r="A31" s="1">
        <v>6715</v>
      </c>
      <c r="B31" s="9" t="s">
        <v>65</v>
      </c>
      <c r="C31" s="2">
        <v>1.0498768472906399</v>
      </c>
      <c r="D31" s="1" t="s">
        <v>18</v>
      </c>
      <c r="E31" s="1" t="s">
        <v>19</v>
      </c>
      <c r="F31" s="1">
        <v>2</v>
      </c>
      <c r="G31" s="1">
        <v>5.9489999999999998</v>
      </c>
      <c r="H31" s="1">
        <v>15</v>
      </c>
      <c r="I31" s="1">
        <v>11</v>
      </c>
      <c r="J31" s="1">
        <v>4</v>
      </c>
      <c r="K31" s="3">
        <v>0.73333333333333328</v>
      </c>
      <c r="L31" s="2">
        <v>91.727272727272734</v>
      </c>
      <c r="M31" s="1">
        <v>55</v>
      </c>
      <c r="N31" s="2">
        <v>0.13333333333333333</v>
      </c>
      <c r="O31" s="2">
        <v>0.39660000000000001</v>
      </c>
      <c r="P31" s="2">
        <v>231.28409663961858</v>
      </c>
      <c r="Q31" s="2">
        <v>231.28409663961858</v>
      </c>
      <c r="R31" s="4" t="s">
        <v>25</v>
      </c>
      <c r="S31" s="4" t="s">
        <v>20</v>
      </c>
    </row>
    <row r="32" spans="1:19" ht="15.75" customHeight="1" x14ac:dyDescent="0.25">
      <c r="A32" s="1">
        <v>6751</v>
      </c>
      <c r="B32" s="9" t="s">
        <v>66</v>
      </c>
      <c r="C32" s="2">
        <v>1.0614772224679301</v>
      </c>
      <c r="D32" s="1" t="s">
        <v>18</v>
      </c>
      <c r="E32" s="1" t="s">
        <v>19</v>
      </c>
      <c r="F32" s="1">
        <v>2</v>
      </c>
      <c r="G32" s="1">
        <v>7.0670000000000002</v>
      </c>
      <c r="H32" s="1">
        <v>28</v>
      </c>
      <c r="I32" s="1">
        <v>16</v>
      </c>
      <c r="J32" s="1">
        <v>12</v>
      </c>
      <c r="K32" s="3">
        <v>0.5714285714285714</v>
      </c>
      <c r="L32" s="2">
        <v>137.4375</v>
      </c>
      <c r="M32" s="1">
        <v>55</v>
      </c>
      <c r="N32" s="2">
        <v>7.1428571428571425E-2</v>
      </c>
      <c r="O32" s="2">
        <v>0.25239285714285714</v>
      </c>
      <c r="P32" s="2">
        <v>544.53799349087308</v>
      </c>
      <c r="Q32" s="2">
        <v>544.53799349087308</v>
      </c>
      <c r="R32" s="4" t="s">
        <v>25</v>
      </c>
      <c r="S32" s="4" t="s">
        <v>20</v>
      </c>
    </row>
    <row r="33" spans="1:19" ht="15.75" customHeight="1" x14ac:dyDescent="0.25">
      <c r="A33" s="1">
        <v>6752</v>
      </c>
      <c r="B33" s="9" t="s">
        <v>67</v>
      </c>
      <c r="C33" s="2">
        <v>1.3571428571428501</v>
      </c>
      <c r="D33" s="1" t="s">
        <v>18</v>
      </c>
      <c r="E33" s="1" t="s">
        <v>19</v>
      </c>
      <c r="F33" s="1">
        <v>2</v>
      </c>
      <c r="G33" s="1">
        <v>6.34</v>
      </c>
      <c r="H33" s="1">
        <v>12</v>
      </c>
      <c r="I33" s="1">
        <v>5</v>
      </c>
      <c r="J33" s="1">
        <v>7</v>
      </c>
      <c r="K33" s="3">
        <v>0.41666666666666669</v>
      </c>
      <c r="L33" s="2">
        <v>34.799999999999997</v>
      </c>
      <c r="M33" s="1">
        <v>33</v>
      </c>
      <c r="N33" s="2">
        <v>0.16666666666666666</v>
      </c>
      <c r="O33" s="2">
        <v>0.52833333333333332</v>
      </c>
      <c r="P33" s="2">
        <v>65.867507886435334</v>
      </c>
      <c r="Q33" s="2">
        <v>65.867507886435334</v>
      </c>
      <c r="R33" s="4" t="s">
        <v>25</v>
      </c>
      <c r="S33" s="4" t="s">
        <v>20</v>
      </c>
    </row>
    <row r="34" spans="1:19" ht="15.75" customHeight="1" x14ac:dyDescent="0.25">
      <c r="A34" s="1">
        <v>6768</v>
      </c>
      <c r="B34" s="9" t="s">
        <v>68</v>
      </c>
      <c r="C34" s="2">
        <v>1.24296675191815</v>
      </c>
      <c r="D34" s="1" t="s">
        <v>18</v>
      </c>
      <c r="E34" s="1" t="s">
        <v>19</v>
      </c>
      <c r="F34" s="1">
        <v>2</v>
      </c>
      <c r="G34" s="1">
        <v>5.7329999999999997</v>
      </c>
      <c r="H34" s="1">
        <v>25</v>
      </c>
      <c r="I34" s="1">
        <v>9</v>
      </c>
      <c r="J34" s="1">
        <v>16</v>
      </c>
      <c r="K34" s="3">
        <v>0.36</v>
      </c>
      <c r="L34" s="2">
        <v>131.44444444444451</v>
      </c>
      <c r="M34" s="1">
        <v>46</v>
      </c>
      <c r="N34" s="2">
        <v>0.08</v>
      </c>
      <c r="O34" s="2">
        <v>0.22932</v>
      </c>
      <c r="P34" s="2">
        <v>573.19223985890687</v>
      </c>
      <c r="Q34" s="2">
        <v>573.19223985890687</v>
      </c>
      <c r="R34" s="4" t="s">
        <v>25</v>
      </c>
      <c r="S34" s="4" t="s">
        <v>20</v>
      </c>
    </row>
    <row r="35" spans="1:19" ht="15.75" customHeight="1" x14ac:dyDescent="0.25">
      <c r="A35" s="1">
        <v>6811</v>
      </c>
      <c r="B35" s="9" t="s">
        <v>69</v>
      </c>
      <c r="C35" s="2">
        <v>1.0062500000000001</v>
      </c>
      <c r="D35" s="1" t="s">
        <v>18</v>
      </c>
      <c r="E35" s="1" t="s">
        <v>19</v>
      </c>
      <c r="F35" s="1">
        <v>3</v>
      </c>
      <c r="G35" s="1">
        <v>7.8029999999999999</v>
      </c>
      <c r="H35" s="1">
        <v>9</v>
      </c>
      <c r="I35" s="1">
        <v>8</v>
      </c>
      <c r="J35" s="1">
        <v>1</v>
      </c>
      <c r="K35" s="3">
        <v>0.88888888888888884</v>
      </c>
      <c r="L35" s="2">
        <v>260.875</v>
      </c>
      <c r="M35" s="1">
        <v>41.5</v>
      </c>
      <c r="N35" s="2">
        <v>0.33333333333333331</v>
      </c>
      <c r="O35" s="2">
        <v>0.86699999999999999</v>
      </c>
      <c r="P35" s="2">
        <v>300.89388696655135</v>
      </c>
      <c r="Q35" s="2">
        <v>300.89388696655135</v>
      </c>
      <c r="R35" s="4" t="s">
        <v>25</v>
      </c>
      <c r="S35" s="4" t="s">
        <v>20</v>
      </c>
    </row>
    <row r="36" spans="1:19" ht="15.75" customHeight="1" x14ac:dyDescent="0.25">
      <c r="A36" s="1">
        <v>6812</v>
      </c>
      <c r="B36" s="9" t="s">
        <v>70</v>
      </c>
      <c r="C36" s="2">
        <v>1.18173431734317</v>
      </c>
      <c r="D36" s="1" t="s">
        <v>18</v>
      </c>
      <c r="E36" s="1" t="s">
        <v>19</v>
      </c>
      <c r="F36" s="1">
        <v>2</v>
      </c>
      <c r="G36" s="1">
        <v>6.4530000000000003</v>
      </c>
      <c r="H36" s="1">
        <v>12</v>
      </c>
      <c r="I36" s="1">
        <v>8</v>
      </c>
      <c r="J36" s="1">
        <v>4</v>
      </c>
      <c r="K36" s="3">
        <v>0.66666666666666663</v>
      </c>
      <c r="L36" s="2">
        <v>196.875</v>
      </c>
      <c r="M36" s="1">
        <v>23.5</v>
      </c>
      <c r="N36" s="2">
        <v>0.16666666666666666</v>
      </c>
      <c r="O36" s="2">
        <v>0.53775000000000006</v>
      </c>
      <c r="P36" s="2">
        <v>366.10878661087867</v>
      </c>
      <c r="Q36" s="2">
        <v>366.10878661087867</v>
      </c>
      <c r="R36" s="4" t="s">
        <v>25</v>
      </c>
      <c r="S36" s="4" t="s">
        <v>20</v>
      </c>
    </row>
    <row r="37" spans="1:19" ht="15.75" customHeight="1" x14ac:dyDescent="0.25">
      <c r="A37" s="1">
        <v>6954</v>
      </c>
      <c r="B37" s="9" t="s">
        <v>71</v>
      </c>
      <c r="C37" s="2">
        <v>1.19999999999999</v>
      </c>
      <c r="D37" s="1" t="s">
        <v>18</v>
      </c>
      <c r="E37" s="1" t="s">
        <v>19</v>
      </c>
      <c r="F37" s="1">
        <v>2</v>
      </c>
      <c r="G37" s="1">
        <v>5.375</v>
      </c>
      <c r="H37" s="1">
        <v>12</v>
      </c>
      <c r="I37" s="1">
        <v>7</v>
      </c>
      <c r="J37" s="1">
        <v>5</v>
      </c>
      <c r="K37" s="3">
        <v>0.58333333333333337</v>
      </c>
      <c r="L37" s="2">
        <v>133.14285714285711</v>
      </c>
      <c r="M37" s="1">
        <v>29</v>
      </c>
      <c r="N37" s="2">
        <v>0.16666666666666666</v>
      </c>
      <c r="O37" s="2">
        <v>0.44791666666666669</v>
      </c>
      <c r="P37" s="2">
        <v>297.24916943521589</v>
      </c>
      <c r="Q37" s="2">
        <v>297.24916943521589</v>
      </c>
      <c r="R37" s="4" t="s">
        <v>25</v>
      </c>
      <c r="S37" s="4" t="s">
        <v>20</v>
      </c>
    </row>
    <row r="38" spans="1:19" ht="15.75" customHeight="1" x14ac:dyDescent="0.25">
      <c r="A38" s="1">
        <v>7862</v>
      </c>
      <c r="B38" s="9" t="s">
        <v>72</v>
      </c>
      <c r="C38" s="2">
        <v>1.25</v>
      </c>
      <c r="D38" s="1" t="s">
        <v>18</v>
      </c>
      <c r="E38" s="1" t="s">
        <v>19</v>
      </c>
      <c r="F38" s="1">
        <v>5</v>
      </c>
      <c r="G38" s="1">
        <v>0.58799999999999997</v>
      </c>
      <c r="H38" s="1">
        <v>6</v>
      </c>
      <c r="I38" s="1">
        <v>5</v>
      </c>
      <c r="J38" s="1">
        <v>1</v>
      </c>
      <c r="K38" s="3">
        <v>0.83333333333333337</v>
      </c>
      <c r="L38" s="2">
        <v>115.4</v>
      </c>
      <c r="M38" s="1">
        <v>81</v>
      </c>
      <c r="N38" s="2">
        <v>0.83333333333333337</v>
      </c>
      <c r="O38" s="2">
        <v>9.799999999999999E-2</v>
      </c>
      <c r="P38" s="2">
        <v>1177.5510204081636</v>
      </c>
      <c r="Q38" s="2">
        <v>1177.5510204081636</v>
      </c>
      <c r="R38" s="4" t="s">
        <v>25</v>
      </c>
      <c r="S38" s="4" t="s">
        <v>20</v>
      </c>
    </row>
    <row r="39" spans="1:19" ht="15.75" customHeight="1" x14ac:dyDescent="0.25">
      <c r="A39" s="1">
        <v>8262</v>
      </c>
      <c r="B39" s="9" t="s">
        <v>73</v>
      </c>
      <c r="C39" s="2">
        <v>1.1640070921985699</v>
      </c>
      <c r="D39" s="1" t="s">
        <v>18</v>
      </c>
      <c r="E39" s="1" t="s">
        <v>19</v>
      </c>
      <c r="F39" s="1">
        <v>253</v>
      </c>
      <c r="G39" s="1">
        <v>364.18400000000003</v>
      </c>
      <c r="H39" s="1">
        <v>351</v>
      </c>
      <c r="I39" s="1">
        <v>202</v>
      </c>
      <c r="J39" s="1">
        <v>149</v>
      </c>
      <c r="K39" s="3">
        <v>0.57549857549857553</v>
      </c>
      <c r="L39" s="2">
        <v>60.698019801980188</v>
      </c>
      <c r="M39" s="1">
        <v>21</v>
      </c>
      <c r="N39" s="2">
        <v>0.72079772079772075</v>
      </c>
      <c r="O39" s="2">
        <v>1.0375612535612537</v>
      </c>
      <c r="P39" s="2">
        <v>58.500661617465475</v>
      </c>
      <c r="Q39" s="2">
        <v>58.500661617465475</v>
      </c>
      <c r="R39" s="4">
        <v>1</v>
      </c>
      <c r="S39" s="4" t="s">
        <v>22</v>
      </c>
    </row>
    <row r="40" spans="1:19" ht="15.75" customHeight="1" x14ac:dyDescent="0.25">
      <c r="A40" s="1">
        <v>8282</v>
      </c>
      <c r="B40" s="9" t="s">
        <v>74</v>
      </c>
      <c r="C40" s="2">
        <v>1.05141065830721</v>
      </c>
      <c r="D40" s="1" t="s">
        <v>18</v>
      </c>
      <c r="E40" s="1" t="s">
        <v>19</v>
      </c>
      <c r="F40" s="1">
        <v>54</v>
      </c>
      <c r="G40" s="1">
        <v>43.622</v>
      </c>
      <c r="H40" s="1">
        <v>122</v>
      </c>
      <c r="I40" s="1">
        <v>86</v>
      </c>
      <c r="J40" s="1">
        <v>36</v>
      </c>
      <c r="K40" s="3">
        <v>0.70491803278688525</v>
      </c>
      <c r="L40" s="2">
        <v>39.52325581395349</v>
      </c>
      <c r="M40" s="1">
        <v>18</v>
      </c>
      <c r="N40" s="2">
        <v>0.44262295081967212</v>
      </c>
      <c r="O40" s="2">
        <v>0.35755737704918034</v>
      </c>
      <c r="P40" s="2">
        <v>110.5368210834516</v>
      </c>
      <c r="Q40" s="2">
        <v>110.5368210834516</v>
      </c>
      <c r="R40" s="4">
        <v>2</v>
      </c>
      <c r="S40" s="4" t="s">
        <v>22</v>
      </c>
    </row>
    <row r="41" spans="1:19" ht="15.75" customHeight="1" x14ac:dyDescent="0.25">
      <c r="A41" s="1">
        <v>8397</v>
      </c>
      <c r="B41" s="9" t="s">
        <v>75</v>
      </c>
      <c r="C41" s="2">
        <v>1.24824415783425</v>
      </c>
      <c r="D41" s="1" t="s">
        <v>18</v>
      </c>
      <c r="E41" s="1" t="s">
        <v>19</v>
      </c>
      <c r="F41" s="1">
        <v>53</v>
      </c>
      <c r="G41" s="1">
        <v>137.69399999999999</v>
      </c>
      <c r="H41" s="1">
        <v>135</v>
      </c>
      <c r="I41" s="1">
        <v>51</v>
      </c>
      <c r="J41" s="1">
        <v>84</v>
      </c>
      <c r="K41" s="3">
        <v>0.37777777777777777</v>
      </c>
      <c r="L41" s="2">
        <v>46.862745098039213</v>
      </c>
      <c r="M41" s="1">
        <v>7</v>
      </c>
      <c r="N41" s="2">
        <v>0.3925925925925926</v>
      </c>
      <c r="O41" s="2">
        <v>1.0199555555555555</v>
      </c>
      <c r="P41" s="2">
        <v>45.945869741857265</v>
      </c>
      <c r="Q41" s="2">
        <v>45.945869741857265</v>
      </c>
      <c r="R41" s="4">
        <v>2</v>
      </c>
      <c r="S41" s="4" t="s">
        <v>22</v>
      </c>
    </row>
    <row r="42" spans="1:19" ht="15.75" customHeight="1" x14ac:dyDescent="0.25">
      <c r="A42" s="1">
        <v>8401</v>
      </c>
      <c r="B42" s="9" t="s">
        <v>76</v>
      </c>
      <c r="C42" s="2">
        <v>1.1946021509064999</v>
      </c>
      <c r="D42" s="1" t="s">
        <v>18</v>
      </c>
      <c r="E42" s="1" t="s">
        <v>19</v>
      </c>
      <c r="F42" s="1">
        <v>144</v>
      </c>
      <c r="G42" s="1">
        <v>303.375</v>
      </c>
      <c r="H42" s="1">
        <v>267</v>
      </c>
      <c r="I42" s="1">
        <v>135</v>
      </c>
      <c r="J42" s="1">
        <v>132</v>
      </c>
      <c r="K42" s="3">
        <v>0.5056179775280899</v>
      </c>
      <c r="L42" s="2">
        <v>22.718518518518518</v>
      </c>
      <c r="M42" s="1">
        <v>8</v>
      </c>
      <c r="N42" s="2">
        <v>0.5393258426966292</v>
      </c>
      <c r="O42" s="2">
        <v>1.1362359550561798</v>
      </c>
      <c r="P42" s="2">
        <v>19.994542874147321</v>
      </c>
      <c r="Q42" s="2">
        <v>19.994542874147321</v>
      </c>
      <c r="R42" s="4">
        <v>2</v>
      </c>
      <c r="S42" s="4" t="s">
        <v>22</v>
      </c>
    </row>
    <row r="43" spans="1:19" ht="15.75" customHeight="1" x14ac:dyDescent="0.25">
      <c r="A43" s="1">
        <v>8410</v>
      </c>
      <c r="B43" s="9" t="s">
        <v>77</v>
      </c>
      <c r="C43" s="2">
        <v>1.0265852075767601</v>
      </c>
      <c r="D43" s="1" t="s">
        <v>18</v>
      </c>
      <c r="E43" s="1" t="s">
        <v>19</v>
      </c>
      <c r="F43" s="1">
        <v>215</v>
      </c>
      <c r="G43" s="1">
        <v>459.46</v>
      </c>
      <c r="H43" s="1">
        <v>465</v>
      </c>
      <c r="I43" s="1">
        <v>309</v>
      </c>
      <c r="J43" s="1">
        <v>156</v>
      </c>
      <c r="K43" s="3">
        <v>0.6645161290322581</v>
      </c>
      <c r="L43" s="2">
        <v>47.925566343042071</v>
      </c>
      <c r="M43" s="1">
        <v>16</v>
      </c>
      <c r="N43" s="2">
        <v>0.46236559139784944</v>
      </c>
      <c r="O43" s="2">
        <v>0.98808602150537628</v>
      </c>
      <c r="P43" s="2">
        <v>48.503435227254961</v>
      </c>
      <c r="Q43" s="2">
        <v>48.503435227254961</v>
      </c>
      <c r="R43" s="4">
        <v>3</v>
      </c>
      <c r="S43" s="4" t="s">
        <v>26</v>
      </c>
    </row>
    <row r="44" spans="1:19" ht="15.75" customHeight="1" x14ac:dyDescent="0.25">
      <c r="A44" s="1">
        <v>8467</v>
      </c>
      <c r="B44" s="9" t="s">
        <v>78</v>
      </c>
      <c r="C44" s="2">
        <v>1.3441265060240899</v>
      </c>
      <c r="D44" s="1" t="s">
        <v>18</v>
      </c>
      <c r="E44" s="1" t="s">
        <v>19</v>
      </c>
      <c r="F44" s="1">
        <v>119</v>
      </c>
      <c r="G44" s="1">
        <v>31.172999999999998</v>
      </c>
      <c r="H44" s="1">
        <v>55</v>
      </c>
      <c r="I44" s="1">
        <v>35</v>
      </c>
      <c r="J44" s="1">
        <v>20</v>
      </c>
      <c r="K44" s="3">
        <v>0.63636363636363635</v>
      </c>
      <c r="L44" s="2">
        <v>84.51428571428572</v>
      </c>
      <c r="M44" s="1">
        <v>43</v>
      </c>
      <c r="N44" s="2">
        <v>2.1636363636363636</v>
      </c>
      <c r="O44" s="2">
        <v>0.56678181818181816</v>
      </c>
      <c r="P44" s="2">
        <v>149.11255619560885</v>
      </c>
      <c r="Q44" s="2">
        <v>149.11255619560885</v>
      </c>
      <c r="R44" s="4">
        <v>2</v>
      </c>
      <c r="S44" s="4" t="s">
        <v>22</v>
      </c>
    </row>
    <row r="45" spans="1:19" ht="15.75" customHeight="1" x14ac:dyDescent="0.25">
      <c r="A45" s="1">
        <v>8751</v>
      </c>
      <c r="B45" s="9" t="s">
        <v>79</v>
      </c>
      <c r="C45" s="2">
        <v>1.2432432432432401</v>
      </c>
      <c r="D45" s="1" t="s">
        <v>23</v>
      </c>
      <c r="E45" s="1" t="s">
        <v>21</v>
      </c>
      <c r="F45" s="1">
        <v>9</v>
      </c>
      <c r="G45" s="1">
        <v>3551.0729999999999</v>
      </c>
      <c r="H45" s="1">
        <v>57</v>
      </c>
      <c r="I45" s="1">
        <v>24</v>
      </c>
      <c r="J45" s="1">
        <v>33</v>
      </c>
      <c r="K45" s="3">
        <v>0.42105263157894735</v>
      </c>
      <c r="L45" s="2">
        <v>712.20833333333337</v>
      </c>
      <c r="M45" s="1">
        <v>306</v>
      </c>
      <c r="N45" s="2">
        <v>0.15789473684210525</v>
      </c>
      <c r="O45" s="2">
        <v>62.299526315789471</v>
      </c>
      <c r="P45" s="2">
        <v>11.43200238350493</v>
      </c>
      <c r="Q45" s="2">
        <v>11.43200238350493</v>
      </c>
      <c r="R45" s="4">
        <v>2</v>
      </c>
      <c r="S45" s="4" t="s">
        <v>20</v>
      </c>
    </row>
    <row r="46" spans="1:19" ht="15.75" customHeight="1" x14ac:dyDescent="0.25">
      <c r="A46" s="5">
        <v>8966</v>
      </c>
      <c r="B46" s="9" t="s">
        <v>80</v>
      </c>
      <c r="C46" s="2">
        <v>1.02856286140831</v>
      </c>
      <c r="D46" s="1" t="s">
        <v>18</v>
      </c>
      <c r="E46" s="1" t="s">
        <v>21</v>
      </c>
      <c r="F46" s="1">
        <v>384</v>
      </c>
      <c r="G46" s="1">
        <v>605.83500000000004</v>
      </c>
      <c r="H46" s="1">
        <v>692</v>
      </c>
      <c r="I46" s="1">
        <v>578</v>
      </c>
      <c r="J46" s="1">
        <v>114</v>
      </c>
      <c r="K46" s="3">
        <v>0.83526011560693647</v>
      </c>
      <c r="L46" s="2">
        <v>52.250865051903112</v>
      </c>
      <c r="M46" s="1">
        <v>24</v>
      </c>
      <c r="N46" s="2">
        <v>0.55491329479768781</v>
      </c>
      <c r="O46" s="2">
        <v>0.87548410404624277</v>
      </c>
      <c r="P46" s="2">
        <v>59.68225443547658</v>
      </c>
      <c r="Q46" s="2">
        <v>59.68225443547658</v>
      </c>
      <c r="R46" s="4" t="s">
        <v>25</v>
      </c>
      <c r="S46" s="4" t="s">
        <v>26</v>
      </c>
    </row>
    <row r="47" spans="1:19" ht="15.75" customHeight="1" x14ac:dyDescent="0.25">
      <c r="A47" s="1">
        <v>9356</v>
      </c>
      <c r="B47" s="9" t="s">
        <v>81</v>
      </c>
      <c r="C47" s="2">
        <v>1.1578335012543799</v>
      </c>
      <c r="D47" s="1" t="s">
        <v>18</v>
      </c>
      <c r="E47" s="1" t="s">
        <v>19</v>
      </c>
      <c r="F47" s="1">
        <v>410</v>
      </c>
      <c r="G47" s="1">
        <v>262.178</v>
      </c>
      <c r="H47" s="1">
        <v>3444</v>
      </c>
      <c r="I47" s="1">
        <v>1125</v>
      </c>
      <c r="J47" s="1">
        <v>2319</v>
      </c>
      <c r="K47" s="3">
        <v>0.32665505226480834</v>
      </c>
      <c r="L47" s="2">
        <v>14.36888888888889</v>
      </c>
      <c r="M47" s="1">
        <v>12</v>
      </c>
      <c r="N47" s="2">
        <v>0.11904761904761904</v>
      </c>
      <c r="O47" s="2">
        <v>7.6126016260162604E-2</v>
      </c>
      <c r="P47" s="2">
        <v>188.75135722041261</v>
      </c>
      <c r="Q47" s="2">
        <v>188.75135722041261</v>
      </c>
      <c r="R47" s="4" t="s">
        <v>25</v>
      </c>
      <c r="S47" s="4" t="s">
        <v>26</v>
      </c>
    </row>
    <row r="48" spans="1:19" ht="15.75" customHeight="1" x14ac:dyDescent="0.25">
      <c r="A48" s="1">
        <v>9573</v>
      </c>
      <c r="B48" s="9" t="s">
        <v>82</v>
      </c>
      <c r="C48" s="2">
        <v>1.01234567901234</v>
      </c>
      <c r="D48" s="1" t="s">
        <v>18</v>
      </c>
      <c r="E48" s="1" t="s">
        <v>21</v>
      </c>
      <c r="F48" s="1">
        <v>23</v>
      </c>
      <c r="G48" s="1">
        <v>22.241</v>
      </c>
      <c r="H48" s="1">
        <v>84</v>
      </c>
      <c r="I48" s="1">
        <v>82</v>
      </c>
      <c r="J48" s="1">
        <v>2</v>
      </c>
      <c r="K48" s="3">
        <v>0.97619047619047616</v>
      </c>
      <c r="L48" s="2">
        <v>265.80487804878049</v>
      </c>
      <c r="M48" s="1">
        <v>259</v>
      </c>
      <c r="N48" s="2">
        <v>0.27380952380952384</v>
      </c>
      <c r="O48" s="2">
        <v>0.26477380952380952</v>
      </c>
      <c r="P48" s="2">
        <v>1003.8941484689341</v>
      </c>
      <c r="Q48" s="2">
        <v>1003.8941484689341</v>
      </c>
      <c r="R48" s="4">
        <v>1</v>
      </c>
      <c r="S48" s="4" t="s">
        <v>26</v>
      </c>
    </row>
    <row r="49" spans="1:19" ht="15.75" customHeight="1" x14ac:dyDescent="0.25">
      <c r="A49" s="1">
        <v>9910</v>
      </c>
      <c r="B49" s="9" t="s">
        <v>83</v>
      </c>
      <c r="C49" s="2">
        <v>1.14231499051233</v>
      </c>
      <c r="D49" s="1" t="s">
        <v>18</v>
      </c>
      <c r="E49" s="1" t="s">
        <v>24</v>
      </c>
      <c r="F49" s="1">
        <v>132</v>
      </c>
      <c r="G49" s="1">
        <v>332.98099999999999</v>
      </c>
      <c r="H49" s="1">
        <v>321</v>
      </c>
      <c r="I49" s="1">
        <v>301</v>
      </c>
      <c r="J49" s="1">
        <v>20</v>
      </c>
      <c r="K49" s="3">
        <v>0.93769470404984423</v>
      </c>
      <c r="L49" s="2">
        <v>76.239202657807311</v>
      </c>
      <c r="M49" s="1">
        <v>40</v>
      </c>
      <c r="N49" s="2">
        <v>0.41121495327102803</v>
      </c>
      <c r="O49" s="2">
        <v>1.0373239875389408</v>
      </c>
      <c r="P49" s="2">
        <v>73.496037471075368</v>
      </c>
      <c r="Q49" s="2">
        <v>73.496037471075368</v>
      </c>
      <c r="R49" s="4">
        <v>1</v>
      </c>
      <c r="S49" s="4" t="s">
        <v>22</v>
      </c>
    </row>
    <row r="50" spans="1:19" ht="15.75" customHeight="1" x14ac:dyDescent="0.25">
      <c r="A50" s="1">
        <v>10379</v>
      </c>
      <c r="B50" s="9" t="s">
        <v>84</v>
      </c>
      <c r="C50" s="2">
        <v>1.0457760255547499</v>
      </c>
      <c r="D50" s="1" t="s">
        <v>18</v>
      </c>
      <c r="E50" s="1" t="s">
        <v>19</v>
      </c>
      <c r="F50" s="1">
        <v>9</v>
      </c>
      <c r="G50" s="1">
        <v>359.04599999999999</v>
      </c>
      <c r="H50" s="1">
        <v>292</v>
      </c>
      <c r="I50" s="1">
        <v>246</v>
      </c>
      <c r="J50" s="1">
        <v>46</v>
      </c>
      <c r="K50" s="3">
        <v>0.84246575342465757</v>
      </c>
      <c r="L50" s="2">
        <v>114.1910569105691</v>
      </c>
      <c r="M50" s="1">
        <v>73.5</v>
      </c>
      <c r="N50" s="2">
        <v>3.0821917808219176E-2</v>
      </c>
      <c r="O50" s="2">
        <v>1.2296095890410959</v>
      </c>
      <c r="P50" s="2">
        <v>92.867734546231347</v>
      </c>
      <c r="Q50" s="2">
        <v>92.867734546231347</v>
      </c>
      <c r="R50" s="4" t="s">
        <v>25</v>
      </c>
      <c r="S50" s="4" t="s">
        <v>26</v>
      </c>
    </row>
    <row r="51" spans="1:19" ht="15.75" customHeight="1" x14ac:dyDescent="0.25">
      <c r="A51" s="1">
        <v>10397</v>
      </c>
      <c r="B51" s="9" t="s">
        <v>85</v>
      </c>
      <c r="C51" s="2">
        <v>1.15178571428571</v>
      </c>
      <c r="D51" s="1" t="s">
        <v>18</v>
      </c>
      <c r="E51" s="1" t="s">
        <v>19</v>
      </c>
      <c r="F51" s="1">
        <v>2</v>
      </c>
      <c r="G51" s="1">
        <v>109.71</v>
      </c>
      <c r="H51" s="1">
        <v>97</v>
      </c>
      <c r="I51" s="1">
        <v>86</v>
      </c>
      <c r="J51" s="1">
        <v>11</v>
      </c>
      <c r="K51" s="3">
        <v>0.88659793814432986</v>
      </c>
      <c r="L51" s="2">
        <v>163.5</v>
      </c>
      <c r="M51" s="1">
        <v>130.5</v>
      </c>
      <c r="N51" s="2">
        <v>2.0618556701030927E-2</v>
      </c>
      <c r="O51" s="2">
        <v>1.1310309278350514</v>
      </c>
      <c r="P51" s="2">
        <v>144.5583811867651</v>
      </c>
      <c r="Q51" s="2">
        <v>144.5583811867651</v>
      </c>
      <c r="R51" s="4">
        <v>1</v>
      </c>
      <c r="S51" s="4" t="s">
        <v>22</v>
      </c>
    </row>
    <row r="52" spans="1:19" ht="15.75" customHeight="1" x14ac:dyDescent="0.25">
      <c r="A52" s="1">
        <v>10598</v>
      </c>
      <c r="B52" s="9" t="s">
        <v>86</v>
      </c>
      <c r="C52" s="2">
        <v>1.1549295774647901</v>
      </c>
      <c r="D52" s="1" t="s">
        <v>18</v>
      </c>
      <c r="E52" s="1" t="s">
        <v>21</v>
      </c>
      <c r="F52" s="1">
        <v>164</v>
      </c>
      <c r="G52" s="1">
        <v>74.887</v>
      </c>
      <c r="H52" s="1">
        <v>131</v>
      </c>
      <c r="I52" s="1">
        <v>123</v>
      </c>
      <c r="J52" s="1">
        <v>8</v>
      </c>
      <c r="K52" s="3">
        <v>0.93893129770992367</v>
      </c>
      <c r="L52" s="2">
        <v>85.455284552845526</v>
      </c>
      <c r="M52" s="1">
        <v>63</v>
      </c>
      <c r="N52" s="2">
        <v>1.251908396946565</v>
      </c>
      <c r="O52" s="2">
        <v>0.57165648854961837</v>
      </c>
      <c r="P52" s="2">
        <v>149.48712428622812</v>
      </c>
      <c r="Q52" s="2">
        <v>149.48712428622812</v>
      </c>
      <c r="R52" s="4">
        <v>1</v>
      </c>
      <c r="S52" s="4" t="s">
        <v>26</v>
      </c>
    </row>
    <row r="53" spans="1:19" ht="15.75" customHeight="1" x14ac:dyDescent="0.25">
      <c r="A53" s="1">
        <v>10702</v>
      </c>
      <c r="B53" s="9" t="s">
        <v>87</v>
      </c>
      <c r="C53" s="2">
        <v>1.3889561807036099</v>
      </c>
      <c r="D53" s="1" t="s">
        <v>18</v>
      </c>
      <c r="E53" s="1" t="s">
        <v>21</v>
      </c>
      <c r="F53" s="1">
        <v>9</v>
      </c>
      <c r="G53" s="1">
        <v>2217.0030000000002</v>
      </c>
      <c r="H53" s="1">
        <v>480</v>
      </c>
      <c r="I53" s="1">
        <v>250</v>
      </c>
      <c r="J53" s="1">
        <v>230</v>
      </c>
      <c r="K53" s="3">
        <v>0.52083333333333337</v>
      </c>
      <c r="L53" s="2">
        <v>165.29599999999999</v>
      </c>
      <c r="M53" s="1">
        <v>92.5</v>
      </c>
      <c r="N53" s="2">
        <v>1.8749999999999999E-2</v>
      </c>
      <c r="O53" s="2">
        <v>4.6187562500000006</v>
      </c>
      <c r="P53" s="2">
        <v>35.787989461448632</v>
      </c>
      <c r="Q53" s="2">
        <v>35.787989461448632</v>
      </c>
      <c r="R53" s="4">
        <v>1</v>
      </c>
      <c r="S53" s="4" t="s">
        <v>22</v>
      </c>
    </row>
    <row r="54" spans="1:19" ht="15.75" customHeight="1" x14ac:dyDescent="0.25">
      <c r="A54" s="1">
        <v>10845</v>
      </c>
      <c r="B54" s="9" t="s">
        <v>88</v>
      </c>
      <c r="C54" s="2">
        <v>1.00143599566514</v>
      </c>
      <c r="D54" s="1" t="s">
        <v>18</v>
      </c>
      <c r="E54" s="1" t="s">
        <v>19</v>
      </c>
      <c r="F54" s="1">
        <v>2</v>
      </c>
      <c r="G54" s="1">
        <v>34.165999999999997</v>
      </c>
      <c r="H54" s="1">
        <v>36</v>
      </c>
      <c r="I54" s="1">
        <v>34</v>
      </c>
      <c r="J54" s="1">
        <v>2</v>
      </c>
      <c r="K54" s="3">
        <v>0.94444444444444442</v>
      </c>
      <c r="L54" s="2">
        <v>278.52941176470591</v>
      </c>
      <c r="M54" s="1">
        <v>306</v>
      </c>
      <c r="N54" s="2">
        <v>5.5555555555555552E-2</v>
      </c>
      <c r="O54" s="2">
        <v>0.94905555555555543</v>
      </c>
      <c r="P54" s="2">
        <v>293.48061884708227</v>
      </c>
      <c r="Q54" s="2">
        <v>293.48061884708227</v>
      </c>
      <c r="R54" s="4" t="s">
        <v>25</v>
      </c>
      <c r="S54" s="4" t="s">
        <v>20</v>
      </c>
    </row>
    <row r="55" spans="1:19" ht="15.75" customHeight="1" x14ac:dyDescent="0.25">
      <c r="A55" s="1">
        <v>10870</v>
      </c>
      <c r="B55" s="9" t="s">
        <v>89</v>
      </c>
      <c r="C55" s="2">
        <v>1.22545802258367</v>
      </c>
      <c r="D55" s="1" t="s">
        <v>23</v>
      </c>
      <c r="E55" s="1" t="s">
        <v>19</v>
      </c>
      <c r="F55" s="1">
        <v>157</v>
      </c>
      <c r="G55" s="1">
        <v>1138.912</v>
      </c>
      <c r="H55" s="1">
        <v>249</v>
      </c>
      <c r="I55" s="1">
        <v>130</v>
      </c>
      <c r="J55" s="1">
        <v>119</v>
      </c>
      <c r="K55" s="3">
        <v>0.52208835341365467</v>
      </c>
      <c r="L55" s="2">
        <v>80.807692307692307</v>
      </c>
      <c r="M55" s="1">
        <v>21.5</v>
      </c>
      <c r="N55" s="2">
        <v>0.63052208835341361</v>
      </c>
      <c r="O55" s="2">
        <v>4.5739437751004015</v>
      </c>
      <c r="P55" s="2">
        <v>17.666962315451396</v>
      </c>
      <c r="Q55" s="2">
        <v>17.666962315451396</v>
      </c>
      <c r="R55" s="4" t="s">
        <v>25</v>
      </c>
      <c r="S55" s="4" t="s">
        <v>22</v>
      </c>
    </row>
    <row r="56" spans="1:19" ht="15.75" customHeight="1" x14ac:dyDescent="0.25">
      <c r="A56" s="1">
        <v>10927</v>
      </c>
      <c r="B56" s="9" t="s">
        <v>90</v>
      </c>
      <c r="C56" s="2">
        <v>1.00445500359554</v>
      </c>
      <c r="D56" s="1" t="s">
        <v>23</v>
      </c>
      <c r="E56" s="1" t="s">
        <v>21</v>
      </c>
      <c r="F56" s="1">
        <v>2</v>
      </c>
      <c r="G56" s="1">
        <v>476.06700000000001</v>
      </c>
      <c r="H56" s="1">
        <v>93</v>
      </c>
      <c r="I56" s="1">
        <v>83</v>
      </c>
      <c r="J56" s="1">
        <v>10</v>
      </c>
      <c r="K56" s="3">
        <v>0.89247311827956988</v>
      </c>
      <c r="L56" s="2">
        <v>193.6626506024096</v>
      </c>
      <c r="M56" s="1">
        <v>72</v>
      </c>
      <c r="N56" s="2">
        <v>2.1505376344086023E-2</v>
      </c>
      <c r="O56" s="2">
        <v>5.1189999999999998</v>
      </c>
      <c r="P56" s="2">
        <v>37.83212553280125</v>
      </c>
      <c r="Q56" s="2">
        <v>37.83212553280125</v>
      </c>
      <c r="R56" s="4" t="s">
        <v>25</v>
      </c>
      <c r="S56" s="4" t="s">
        <v>20</v>
      </c>
    </row>
    <row r="57" spans="1:19" ht="15.75" customHeight="1" x14ac:dyDescent="0.25">
      <c r="A57" s="1">
        <v>10929</v>
      </c>
      <c r="B57" s="9" t="s">
        <v>91</v>
      </c>
      <c r="C57" s="2">
        <v>1.0576323987539</v>
      </c>
      <c r="D57" s="1" t="s">
        <v>23</v>
      </c>
      <c r="E57" s="1" t="s">
        <v>21</v>
      </c>
      <c r="F57" s="1">
        <v>14</v>
      </c>
      <c r="G57" s="1">
        <v>51.991</v>
      </c>
      <c r="H57" s="1">
        <v>97</v>
      </c>
      <c r="I57" s="1">
        <v>97</v>
      </c>
      <c r="J57" s="1">
        <v>0</v>
      </c>
      <c r="K57" s="3">
        <v>1</v>
      </c>
      <c r="L57" s="2">
        <v>460.61855670103091</v>
      </c>
      <c r="M57" s="1">
        <v>358</v>
      </c>
      <c r="N57" s="2">
        <v>0.14432989690721648</v>
      </c>
      <c r="O57" s="2">
        <v>0.53598969072164948</v>
      </c>
      <c r="P57" s="2">
        <v>859.37950799176781</v>
      </c>
      <c r="Q57" s="2">
        <v>859.37950799176781</v>
      </c>
      <c r="R57" s="4">
        <v>1</v>
      </c>
      <c r="S57" s="4" t="s">
        <v>20</v>
      </c>
    </row>
    <row r="58" spans="1:19" ht="15.75" customHeight="1" x14ac:dyDescent="0.25">
      <c r="A58" s="1">
        <v>11377</v>
      </c>
      <c r="B58" s="9" t="s">
        <v>92</v>
      </c>
      <c r="C58" s="2">
        <v>1.0574082264484701</v>
      </c>
      <c r="D58" s="1" t="s">
        <v>18</v>
      </c>
      <c r="E58" s="1" t="s">
        <v>19</v>
      </c>
      <c r="F58" s="1">
        <v>25</v>
      </c>
      <c r="G58" s="1">
        <v>0.86399999999999999</v>
      </c>
      <c r="H58" s="1">
        <v>43</v>
      </c>
      <c r="I58" s="1">
        <v>43</v>
      </c>
      <c r="J58" s="1">
        <v>0</v>
      </c>
      <c r="K58" s="3">
        <v>1</v>
      </c>
      <c r="L58" s="2">
        <v>53.604651162790702</v>
      </c>
      <c r="M58" s="1">
        <v>37</v>
      </c>
      <c r="N58" s="2">
        <v>0.58139534883720934</v>
      </c>
      <c r="O58" s="2">
        <v>2.0093023255813955E-2</v>
      </c>
      <c r="P58" s="2">
        <v>2667.8240740740739</v>
      </c>
      <c r="Q58" s="2">
        <v>2667.8240740740739</v>
      </c>
      <c r="R58" s="4" t="s">
        <v>25</v>
      </c>
      <c r="S58" s="4" t="s">
        <v>20</v>
      </c>
    </row>
    <row r="59" spans="1:19" ht="15.75" customHeight="1" x14ac:dyDescent="0.25">
      <c r="A59" s="1">
        <v>11767</v>
      </c>
      <c r="B59" s="9" t="s">
        <v>93</v>
      </c>
      <c r="C59" s="2">
        <v>1.13085654872439</v>
      </c>
      <c r="D59" s="1" t="s">
        <v>18</v>
      </c>
      <c r="E59" s="1" t="s">
        <v>19</v>
      </c>
      <c r="F59" s="1">
        <v>98</v>
      </c>
      <c r="G59" s="1">
        <v>5.2569999999999997</v>
      </c>
      <c r="H59" s="1">
        <v>389</v>
      </c>
      <c r="I59" s="1">
        <v>344</v>
      </c>
      <c r="J59" s="1">
        <v>45</v>
      </c>
      <c r="K59" s="3">
        <v>0.88431876606683801</v>
      </c>
      <c r="L59" s="2">
        <v>11.982558139534881</v>
      </c>
      <c r="M59" s="1">
        <v>9</v>
      </c>
      <c r="N59" s="2">
        <v>0.25192802056555269</v>
      </c>
      <c r="O59" s="2">
        <v>1.3514138817480719E-2</v>
      </c>
      <c r="P59" s="2">
        <v>886.66827397357224</v>
      </c>
      <c r="Q59" s="2">
        <v>886.66827397357224</v>
      </c>
      <c r="R59" s="4" t="s">
        <v>25</v>
      </c>
      <c r="S59" s="4" t="s">
        <v>22</v>
      </c>
    </row>
    <row r="60" spans="1:19" ht="15.75" customHeight="1" x14ac:dyDescent="0.25">
      <c r="A60" s="1">
        <v>11809</v>
      </c>
      <c r="B60" s="9" t="s">
        <v>94</v>
      </c>
      <c r="C60" s="2">
        <v>1.03315422099108</v>
      </c>
      <c r="D60" s="1" t="s">
        <v>18</v>
      </c>
      <c r="E60" s="1" t="s">
        <v>19</v>
      </c>
      <c r="F60" s="1">
        <v>60</v>
      </c>
      <c r="G60" s="1">
        <v>4.1360000000000001</v>
      </c>
      <c r="H60" s="1">
        <v>337</v>
      </c>
      <c r="I60" s="1">
        <v>300</v>
      </c>
      <c r="J60" s="1">
        <v>37</v>
      </c>
      <c r="K60" s="3">
        <v>0.89020771513353114</v>
      </c>
      <c r="L60" s="2">
        <v>10.75</v>
      </c>
      <c r="M60" s="1">
        <v>9</v>
      </c>
      <c r="N60" s="2">
        <v>0.17804154302670624</v>
      </c>
      <c r="O60" s="2">
        <v>1.227299703264095E-2</v>
      </c>
      <c r="P60" s="2">
        <v>875.90667311411994</v>
      </c>
      <c r="Q60" s="2">
        <v>875.90667311411994</v>
      </c>
      <c r="R60" s="4" t="s">
        <v>25</v>
      </c>
      <c r="S60" s="4" t="s">
        <v>22</v>
      </c>
    </row>
    <row r="61" spans="1:19" ht="15.75" customHeight="1" x14ac:dyDescent="0.25">
      <c r="A61" s="1">
        <v>11812</v>
      </c>
      <c r="B61" s="9" t="s">
        <v>95</v>
      </c>
      <c r="C61" s="2">
        <v>1.10391297631634</v>
      </c>
      <c r="D61" s="1" t="s">
        <v>18</v>
      </c>
      <c r="E61" s="1" t="s">
        <v>19</v>
      </c>
      <c r="F61" s="1">
        <v>156</v>
      </c>
      <c r="G61" s="1">
        <v>5.1769999999999996</v>
      </c>
      <c r="H61" s="1">
        <v>427</v>
      </c>
      <c r="I61" s="1">
        <v>390</v>
      </c>
      <c r="J61" s="1">
        <v>37</v>
      </c>
      <c r="K61" s="3">
        <v>0.9133489461358314</v>
      </c>
      <c r="L61" s="2">
        <v>9.8282051282051288</v>
      </c>
      <c r="M61" s="1">
        <v>7</v>
      </c>
      <c r="N61" s="2">
        <v>0.36533957845433257</v>
      </c>
      <c r="O61" s="2">
        <v>1.2124121779859484E-2</v>
      </c>
      <c r="P61" s="2">
        <v>810.63233334819211</v>
      </c>
      <c r="Q61" s="2">
        <v>810.63233334819211</v>
      </c>
      <c r="R61" s="4" t="s">
        <v>25</v>
      </c>
      <c r="S61" s="4" t="s">
        <v>22</v>
      </c>
    </row>
    <row r="62" spans="1:19" ht="15.75" customHeight="1" x14ac:dyDescent="0.25">
      <c r="A62" s="1">
        <v>11863</v>
      </c>
      <c r="B62" s="9" t="s">
        <v>96</v>
      </c>
      <c r="C62" s="2">
        <v>1.18472274144545</v>
      </c>
      <c r="D62" s="1" t="s">
        <v>18</v>
      </c>
      <c r="E62" s="1" t="s">
        <v>19</v>
      </c>
      <c r="F62" s="1">
        <v>28</v>
      </c>
      <c r="G62" s="1">
        <v>3.8959999999999999</v>
      </c>
      <c r="H62" s="1">
        <v>325</v>
      </c>
      <c r="I62" s="1">
        <v>297</v>
      </c>
      <c r="J62" s="1">
        <v>28</v>
      </c>
      <c r="K62" s="3">
        <v>0.91384615384615386</v>
      </c>
      <c r="L62" s="2">
        <v>14.932659932659931</v>
      </c>
      <c r="M62" s="1">
        <v>12</v>
      </c>
      <c r="N62" s="2">
        <v>8.615384615384615E-2</v>
      </c>
      <c r="O62" s="2">
        <v>1.1987692307692307E-2</v>
      </c>
      <c r="P62" s="2">
        <v>1245.6659338076174</v>
      </c>
      <c r="Q62" s="2">
        <v>1245.6659338076174</v>
      </c>
      <c r="R62" s="4" t="s">
        <v>25</v>
      </c>
      <c r="S62" s="4" t="s">
        <v>22</v>
      </c>
    </row>
    <row r="63" spans="1:19" ht="15.75" customHeight="1" x14ac:dyDescent="0.25">
      <c r="A63" s="1">
        <v>13259</v>
      </c>
      <c r="B63" s="9" t="s">
        <v>97</v>
      </c>
      <c r="C63" s="2">
        <v>1.07344935488019</v>
      </c>
      <c r="D63" s="1" t="s">
        <v>18</v>
      </c>
      <c r="E63" s="1" t="s">
        <v>19</v>
      </c>
      <c r="F63" s="1">
        <v>16</v>
      </c>
      <c r="G63" s="1">
        <v>0.16200000000000001</v>
      </c>
      <c r="H63" s="1">
        <v>63</v>
      </c>
      <c r="I63" s="1">
        <v>54</v>
      </c>
      <c r="J63" s="1">
        <v>9</v>
      </c>
      <c r="K63" s="3">
        <v>0.8571428571428571</v>
      </c>
      <c r="L63" s="2">
        <v>5.7222222222222223</v>
      </c>
      <c r="M63" s="1">
        <v>5</v>
      </c>
      <c r="N63" s="2">
        <v>0.25396825396825395</v>
      </c>
      <c r="O63" s="2">
        <v>2.5714285714285713E-3</v>
      </c>
      <c r="P63" s="2">
        <v>2225.3086419753085</v>
      </c>
      <c r="Q63" s="2">
        <v>2225.3086419753085</v>
      </c>
      <c r="R63" s="4">
        <v>1</v>
      </c>
      <c r="S63" s="4" t="s">
        <v>20</v>
      </c>
    </row>
    <row r="64" spans="1:19" ht="15.75" customHeight="1" x14ac:dyDescent="0.25">
      <c r="A64" s="1">
        <v>13702</v>
      </c>
      <c r="B64" s="9" t="s">
        <v>98</v>
      </c>
      <c r="C64" s="2">
        <v>1.05754076136872</v>
      </c>
      <c r="D64" s="1" t="s">
        <v>18</v>
      </c>
      <c r="E64" s="1" t="s">
        <v>19</v>
      </c>
      <c r="F64" s="1">
        <v>12</v>
      </c>
      <c r="G64" s="1">
        <v>18.015000000000001</v>
      </c>
      <c r="H64" s="1">
        <v>167</v>
      </c>
      <c r="I64" s="1">
        <v>159</v>
      </c>
      <c r="J64" s="1">
        <v>8</v>
      </c>
      <c r="K64" s="3">
        <v>0.95209580838323349</v>
      </c>
      <c r="L64" s="2">
        <v>149.9245283018868</v>
      </c>
      <c r="M64" s="1">
        <v>86</v>
      </c>
      <c r="N64" s="2">
        <v>7.1856287425149698E-2</v>
      </c>
      <c r="O64" s="2">
        <v>0.107874251497006</v>
      </c>
      <c r="P64" s="2">
        <v>1389.8082834535162</v>
      </c>
      <c r="Q64" s="2">
        <v>1389.8082834535162</v>
      </c>
      <c r="R64" s="4">
        <v>2</v>
      </c>
      <c r="S64" s="4" t="s">
        <v>22</v>
      </c>
    </row>
    <row r="65" spans="1:19" ht="15.75" customHeight="1" x14ac:dyDescent="0.25">
      <c r="A65" s="1">
        <v>14105</v>
      </c>
      <c r="B65" s="9" t="s">
        <v>99</v>
      </c>
      <c r="C65" s="2">
        <v>1.0321988320991</v>
      </c>
      <c r="D65" s="1" t="s">
        <v>23</v>
      </c>
      <c r="E65" s="1" t="s">
        <v>24</v>
      </c>
      <c r="F65" s="1">
        <v>18</v>
      </c>
      <c r="G65" s="1">
        <v>27.585999999999999</v>
      </c>
      <c r="H65" s="1">
        <v>94</v>
      </c>
      <c r="I65" s="1">
        <v>74</v>
      </c>
      <c r="J65" s="1">
        <v>20</v>
      </c>
      <c r="K65" s="3">
        <v>0.78723404255319152</v>
      </c>
      <c r="L65" s="2">
        <v>15.52702702702703</v>
      </c>
      <c r="M65" s="1">
        <v>9.5</v>
      </c>
      <c r="N65" s="2">
        <v>0.19148936170212766</v>
      </c>
      <c r="O65" s="2">
        <v>0.29346808510638295</v>
      </c>
      <c r="P65" s="2">
        <v>52.908741410155187</v>
      </c>
      <c r="Q65" s="2">
        <v>52.908741410155187</v>
      </c>
      <c r="R65" s="4">
        <v>2</v>
      </c>
      <c r="S65" s="4" t="s">
        <v>22</v>
      </c>
    </row>
    <row r="66" spans="1:19" ht="15.75" customHeight="1" x14ac:dyDescent="0.25">
      <c r="A66" s="5">
        <v>14106</v>
      </c>
      <c r="B66" s="9" t="s">
        <v>100</v>
      </c>
      <c r="C66" s="2">
        <v>1.0285464376590301</v>
      </c>
      <c r="D66" s="1" t="s">
        <v>23</v>
      </c>
      <c r="E66" s="5" t="s">
        <v>19</v>
      </c>
      <c r="F66" s="5">
        <v>21</v>
      </c>
      <c r="G66" s="6">
        <v>0.53656453604784304</v>
      </c>
      <c r="H66" s="1">
        <v>40</v>
      </c>
      <c r="I66" s="1">
        <v>26</v>
      </c>
      <c r="J66" s="1">
        <v>14</v>
      </c>
      <c r="K66" s="3">
        <v>0.65</v>
      </c>
      <c r="L66" s="2">
        <v>6.6538461538461542</v>
      </c>
      <c r="M66" s="1">
        <v>4</v>
      </c>
      <c r="N66" s="2">
        <f>F66/H66</f>
        <v>0.52500000000000002</v>
      </c>
      <c r="O66" s="2">
        <f>G66/H66</f>
        <v>1.3414113401196076E-2</v>
      </c>
      <c r="P66" s="2">
        <f>L66*H66/G66</f>
        <v>496.03324161944698</v>
      </c>
      <c r="Q66" s="2">
        <f>P66</f>
        <v>496.03324161944698</v>
      </c>
      <c r="R66" s="4">
        <v>2</v>
      </c>
      <c r="S66" s="4" t="s">
        <v>26</v>
      </c>
    </row>
    <row r="67" spans="1:19" ht="15.75" customHeight="1" x14ac:dyDescent="0.25">
      <c r="A67" s="1">
        <v>14115</v>
      </c>
      <c r="B67" s="9" t="s">
        <v>101</v>
      </c>
      <c r="C67" s="2">
        <v>1.21735154385469</v>
      </c>
      <c r="D67" s="1" t="s">
        <v>18</v>
      </c>
      <c r="E67" s="1" t="s">
        <v>19</v>
      </c>
      <c r="F67" s="1">
        <v>34</v>
      </c>
      <c r="G67" s="1">
        <v>0.441</v>
      </c>
      <c r="H67" s="1">
        <v>147</v>
      </c>
      <c r="I67" s="1">
        <v>66</v>
      </c>
      <c r="J67" s="1">
        <v>81</v>
      </c>
      <c r="K67" s="3">
        <v>0.44897959183673469</v>
      </c>
      <c r="L67" s="2">
        <v>2.166666666666667</v>
      </c>
      <c r="M67" s="1">
        <v>1</v>
      </c>
      <c r="N67" s="2">
        <v>0.23129251700680273</v>
      </c>
      <c r="O67" s="2">
        <v>3.0000000000000001E-3</v>
      </c>
      <c r="P67" s="2">
        <v>722.2222222222224</v>
      </c>
      <c r="Q67" s="2">
        <v>722.2222222222224</v>
      </c>
      <c r="R67" s="4" t="s">
        <v>25</v>
      </c>
      <c r="S67" s="4" t="s">
        <v>22</v>
      </c>
    </row>
    <row r="68" spans="1:19" ht="15.75" customHeight="1" x14ac:dyDescent="0.25">
      <c r="A68" s="1">
        <v>14251</v>
      </c>
      <c r="B68" s="9" t="s">
        <v>102</v>
      </c>
      <c r="C68" s="2">
        <v>1.0263157894736801</v>
      </c>
      <c r="D68" s="1" t="s">
        <v>23</v>
      </c>
      <c r="E68" s="1" t="s">
        <v>21</v>
      </c>
      <c r="F68" s="1">
        <v>2</v>
      </c>
      <c r="G68" s="1">
        <v>4.5170000000000003</v>
      </c>
      <c r="H68" s="1">
        <v>14</v>
      </c>
      <c r="I68" s="1">
        <v>13</v>
      </c>
      <c r="J68" s="1">
        <v>1</v>
      </c>
      <c r="K68" s="3">
        <v>0.9285714285714286</v>
      </c>
      <c r="L68" s="2">
        <v>100.2307692307692</v>
      </c>
      <c r="M68" s="1">
        <v>47</v>
      </c>
      <c r="N68" s="2">
        <v>0.14285714285714285</v>
      </c>
      <c r="O68" s="2">
        <v>0.32264285714285718</v>
      </c>
      <c r="P68" s="2">
        <v>310.65547248854745</v>
      </c>
      <c r="Q68" s="2">
        <v>310.65547248854745</v>
      </c>
      <c r="R68" s="4">
        <v>1</v>
      </c>
      <c r="S68" s="4" t="s">
        <v>20</v>
      </c>
    </row>
    <row r="69" spans="1:19" ht="15.75" customHeight="1" x14ac:dyDescent="0.25">
      <c r="A69" s="1">
        <v>14331</v>
      </c>
      <c r="B69" s="9" t="s">
        <v>103</v>
      </c>
      <c r="C69" s="2">
        <v>1.21766748311037</v>
      </c>
      <c r="D69" s="1" t="s">
        <v>23</v>
      </c>
      <c r="E69" s="1" t="s">
        <v>21</v>
      </c>
      <c r="F69" s="1">
        <v>2</v>
      </c>
      <c r="G69" s="1">
        <v>149.34100000000001</v>
      </c>
      <c r="H69" s="1">
        <v>45</v>
      </c>
      <c r="I69" s="1">
        <v>30</v>
      </c>
      <c r="J69" s="1">
        <v>15</v>
      </c>
      <c r="K69" s="3">
        <v>0.66666666666666663</v>
      </c>
      <c r="L69" s="2">
        <v>114.8333333333333</v>
      </c>
      <c r="M69" s="1">
        <v>85.5</v>
      </c>
      <c r="N69" s="2">
        <v>4.4444444444444446E-2</v>
      </c>
      <c r="O69" s="2">
        <v>3.318688888888889</v>
      </c>
      <c r="P69" s="2">
        <v>34.602018199958472</v>
      </c>
      <c r="Q69" s="2">
        <v>34.602018199958472</v>
      </c>
      <c r="R69" s="4">
        <v>2</v>
      </c>
      <c r="S69" s="4" t="s">
        <v>20</v>
      </c>
    </row>
    <row r="70" spans="1:19" ht="15.75" customHeight="1" x14ac:dyDescent="0.25">
      <c r="A70" s="1">
        <v>14337</v>
      </c>
      <c r="B70" s="9" t="s">
        <v>104</v>
      </c>
      <c r="C70" s="2">
        <v>1.4181034482758601</v>
      </c>
      <c r="D70" s="1" t="s">
        <v>23</v>
      </c>
      <c r="E70" s="1" t="s">
        <v>21</v>
      </c>
      <c r="F70" s="1">
        <v>2</v>
      </c>
      <c r="G70" s="1">
        <v>333.541</v>
      </c>
      <c r="H70" s="1">
        <v>80</v>
      </c>
      <c r="I70" s="1">
        <v>47</v>
      </c>
      <c r="J70" s="1">
        <v>33</v>
      </c>
      <c r="K70" s="3">
        <v>0.58750000000000002</v>
      </c>
      <c r="L70" s="2">
        <v>120.21276595744681</v>
      </c>
      <c r="M70" s="1">
        <v>76</v>
      </c>
      <c r="N70" s="2">
        <v>2.5000000000000001E-2</v>
      </c>
      <c r="O70" s="2">
        <v>4.1692625000000003</v>
      </c>
      <c r="P70" s="2">
        <v>28.833100807983858</v>
      </c>
      <c r="Q70" s="2">
        <v>28.833100807983858</v>
      </c>
      <c r="R70" s="4">
        <v>1</v>
      </c>
      <c r="S70" s="4" t="s">
        <v>20</v>
      </c>
    </row>
    <row r="71" spans="1:19" ht="15.75" customHeight="1" x14ac:dyDescent="0.25">
      <c r="A71" s="1">
        <v>14357</v>
      </c>
      <c r="B71" s="9" t="s">
        <v>105</v>
      </c>
      <c r="C71" s="2">
        <v>1.0012218651396201</v>
      </c>
      <c r="D71" s="1" t="s">
        <v>18</v>
      </c>
      <c r="E71" s="1" t="s">
        <v>19</v>
      </c>
      <c r="F71" s="1">
        <v>198</v>
      </c>
      <c r="G71" s="1">
        <v>85.75</v>
      </c>
      <c r="H71" s="1">
        <v>467</v>
      </c>
      <c r="I71" s="1">
        <v>337</v>
      </c>
      <c r="J71" s="1">
        <v>130</v>
      </c>
      <c r="K71" s="3">
        <v>0.72162740899357602</v>
      </c>
      <c r="L71" s="2">
        <v>18.264094955489611</v>
      </c>
      <c r="M71" s="1">
        <v>11</v>
      </c>
      <c r="N71" s="2">
        <v>0.42398286937901497</v>
      </c>
      <c r="O71" s="2">
        <v>0.18361884368308351</v>
      </c>
      <c r="P71" s="2">
        <v>99.467432585581903</v>
      </c>
      <c r="Q71" s="2">
        <v>99.467432585581903</v>
      </c>
      <c r="R71" s="4" t="s">
        <v>25</v>
      </c>
      <c r="S71" s="4" t="s">
        <v>20</v>
      </c>
    </row>
    <row r="72" spans="1:19" ht="15.75" customHeight="1" x14ac:dyDescent="0.25">
      <c r="A72" s="1">
        <v>14509</v>
      </c>
      <c r="B72" s="9" t="s">
        <v>106</v>
      </c>
      <c r="C72" s="2">
        <v>1.14254686863643</v>
      </c>
      <c r="D72" s="1" t="s">
        <v>18</v>
      </c>
      <c r="E72" s="1" t="s">
        <v>21</v>
      </c>
      <c r="F72" s="1">
        <v>59</v>
      </c>
      <c r="G72" s="1">
        <v>62.17</v>
      </c>
      <c r="H72" s="1">
        <v>785</v>
      </c>
      <c r="I72" s="1">
        <v>357</v>
      </c>
      <c r="J72" s="1">
        <v>428</v>
      </c>
      <c r="K72" s="3">
        <v>0.45477707006369428</v>
      </c>
      <c r="L72" s="2">
        <v>12.95518207282913</v>
      </c>
      <c r="M72" s="1">
        <v>9</v>
      </c>
      <c r="N72" s="2">
        <v>7.5159235668789806E-2</v>
      </c>
      <c r="O72" s="2">
        <v>7.9197452229299359E-2</v>
      </c>
      <c r="P72" s="2">
        <v>163.58079342401265</v>
      </c>
      <c r="Q72" s="2">
        <v>163.58079342401265</v>
      </c>
      <c r="R72" s="4" t="s">
        <v>25</v>
      </c>
      <c r="S72" s="4" t="s">
        <v>22</v>
      </c>
    </row>
    <row r="73" spans="1:19" ht="15.75" customHeight="1" x14ac:dyDescent="0.25">
      <c r="A73" s="1">
        <v>14681</v>
      </c>
      <c r="B73" s="9" t="s">
        <v>107</v>
      </c>
      <c r="C73" s="2">
        <v>1.0181818181818101</v>
      </c>
      <c r="D73" s="1" t="s">
        <v>23</v>
      </c>
      <c r="E73" s="1" t="s">
        <v>21</v>
      </c>
      <c r="F73" s="1">
        <v>2</v>
      </c>
      <c r="G73" s="1">
        <v>150.52000000000001</v>
      </c>
      <c r="H73" s="1">
        <v>44</v>
      </c>
      <c r="I73" s="1">
        <v>8</v>
      </c>
      <c r="J73" s="1">
        <v>36</v>
      </c>
      <c r="K73" s="3">
        <v>0.18181818181818182</v>
      </c>
      <c r="L73" s="2">
        <v>56.875</v>
      </c>
      <c r="M73" s="1">
        <v>27</v>
      </c>
      <c r="N73" s="2">
        <v>4.5454545454545456E-2</v>
      </c>
      <c r="O73" s="2">
        <v>3.4209090909090913</v>
      </c>
      <c r="P73" s="2">
        <v>16.625697581716715</v>
      </c>
      <c r="Q73" s="2">
        <v>16.625697581716715</v>
      </c>
      <c r="R73" s="4" t="s">
        <v>25</v>
      </c>
      <c r="S73" s="4" t="s">
        <v>20</v>
      </c>
    </row>
    <row r="74" spans="1:19" ht="15.75" customHeight="1" x14ac:dyDescent="0.25">
      <c r="A74" s="1">
        <v>14737</v>
      </c>
      <c r="B74" s="9" t="s">
        <v>108</v>
      </c>
      <c r="C74" s="2">
        <v>1.2475915221579901</v>
      </c>
      <c r="D74" s="1" t="s">
        <v>23</v>
      </c>
      <c r="E74" s="1" t="s">
        <v>21</v>
      </c>
      <c r="F74" s="5">
        <v>17</v>
      </c>
      <c r="G74" s="5">
        <v>3.4235817725619602</v>
      </c>
      <c r="H74" s="1">
        <v>185</v>
      </c>
      <c r="I74" s="1">
        <v>71</v>
      </c>
      <c r="J74" s="1">
        <v>114</v>
      </c>
      <c r="K74" s="3">
        <v>0.38378378378378381</v>
      </c>
      <c r="L74" s="2">
        <v>20.7887323943662</v>
      </c>
      <c r="M74" s="1">
        <v>10</v>
      </c>
      <c r="N74" s="2">
        <f>F74/H74</f>
        <v>9.1891891891891897E-2</v>
      </c>
      <c r="O74" s="2">
        <f>G74/H74</f>
        <v>1.8505847419253839E-2</v>
      </c>
      <c r="P74" s="2">
        <f>L74*H74/G74</f>
        <v>1123.360196558046</v>
      </c>
      <c r="Q74" s="2">
        <f>P74</f>
        <v>1123.360196558046</v>
      </c>
      <c r="R74" s="4">
        <v>2</v>
      </c>
      <c r="S74" s="4" t="s">
        <v>20</v>
      </c>
    </row>
    <row r="75" spans="1:19" ht="15.75" customHeight="1" x14ac:dyDescent="0.25">
      <c r="A75" s="1">
        <v>15648</v>
      </c>
      <c r="B75" s="9" t="s">
        <v>109</v>
      </c>
      <c r="C75" s="2">
        <v>1.1546752774240501</v>
      </c>
      <c r="D75" s="1" t="s">
        <v>23</v>
      </c>
      <c r="E75" s="1" t="s">
        <v>19</v>
      </c>
      <c r="F75" s="1">
        <v>403</v>
      </c>
      <c r="G75" s="1">
        <v>905.45</v>
      </c>
      <c r="H75" s="1">
        <v>203</v>
      </c>
      <c r="I75" s="1">
        <v>156</v>
      </c>
      <c r="J75" s="1">
        <v>47</v>
      </c>
      <c r="K75" s="3">
        <v>0.76847290640394084</v>
      </c>
      <c r="L75" s="2">
        <v>128.7628205128205</v>
      </c>
      <c r="M75" s="1">
        <v>44.5</v>
      </c>
      <c r="N75" s="2">
        <v>1.9852216748768472</v>
      </c>
      <c r="O75" s="2">
        <v>4.4603448275862068</v>
      </c>
      <c r="P75" s="2">
        <v>28.868355584629256</v>
      </c>
      <c r="Q75" s="2">
        <v>28.868355584629256</v>
      </c>
      <c r="R75" s="4">
        <v>3</v>
      </c>
      <c r="S75" s="4" t="s">
        <v>26</v>
      </c>
    </row>
    <row r="76" spans="1:19" ht="15.75" customHeight="1" x14ac:dyDescent="0.25">
      <c r="A76" s="1">
        <v>15859</v>
      </c>
      <c r="B76" s="9" t="s">
        <v>110</v>
      </c>
      <c r="C76" s="2">
        <v>1.1107994389901801</v>
      </c>
      <c r="D76" s="1" t="s">
        <v>23</v>
      </c>
      <c r="E76" s="1" t="s">
        <v>21</v>
      </c>
      <c r="F76" s="1">
        <v>3</v>
      </c>
      <c r="G76" s="1">
        <v>3.5000000000000003E-2</v>
      </c>
      <c r="H76" s="1">
        <v>40</v>
      </c>
      <c r="I76" s="1">
        <v>33</v>
      </c>
      <c r="J76" s="1">
        <v>7</v>
      </c>
      <c r="K76" s="3">
        <v>0.82499999999999996</v>
      </c>
      <c r="L76" s="2">
        <v>3.939393939393939</v>
      </c>
      <c r="M76" s="1">
        <v>4</v>
      </c>
      <c r="N76" s="2">
        <v>7.4999999999999997E-2</v>
      </c>
      <c r="O76" s="2">
        <v>8.7500000000000013E-4</v>
      </c>
      <c r="P76" s="2">
        <v>4502.1645021645018</v>
      </c>
      <c r="Q76" s="2">
        <v>4502.1645021645018</v>
      </c>
      <c r="R76" s="4">
        <v>2</v>
      </c>
      <c r="S76" s="4" t="s">
        <v>20</v>
      </c>
    </row>
    <row r="77" spans="1:19" ht="15.75" customHeight="1" x14ac:dyDescent="0.25">
      <c r="A77" s="1">
        <v>16184</v>
      </c>
      <c r="B77" s="9" t="s">
        <v>111</v>
      </c>
      <c r="C77" s="2">
        <v>1.1885614936438</v>
      </c>
      <c r="D77" s="1" t="s">
        <v>23</v>
      </c>
      <c r="E77" s="1" t="s">
        <v>21</v>
      </c>
      <c r="F77" s="1">
        <v>36</v>
      </c>
      <c r="G77" s="1">
        <v>88.56</v>
      </c>
      <c r="H77" s="1">
        <v>1078</v>
      </c>
      <c r="I77" s="1">
        <v>593</v>
      </c>
      <c r="J77" s="1">
        <v>485</v>
      </c>
      <c r="K77" s="3">
        <v>0.55009276437847865</v>
      </c>
      <c r="L77" s="2">
        <v>68.691399662731868</v>
      </c>
      <c r="M77" s="1">
        <v>42</v>
      </c>
      <c r="N77" s="2">
        <v>3.3395176252319109E-2</v>
      </c>
      <c r="O77" s="2">
        <v>8.2152133580705014E-2</v>
      </c>
      <c r="P77" s="2">
        <v>836.14869959829446</v>
      </c>
      <c r="Q77" s="2">
        <v>836.14869959829446</v>
      </c>
      <c r="R77" s="4" t="s">
        <v>25</v>
      </c>
      <c r="S77" s="4" t="s">
        <v>22</v>
      </c>
    </row>
    <row r="78" spans="1:19" ht="15.75" customHeight="1" x14ac:dyDescent="0.25">
      <c r="A78" s="1">
        <v>16204</v>
      </c>
      <c r="B78" s="9" t="s">
        <v>112</v>
      </c>
      <c r="C78" s="2">
        <v>1.30645161290322</v>
      </c>
      <c r="D78" s="1" t="s">
        <v>23</v>
      </c>
      <c r="E78" s="1" t="s">
        <v>21</v>
      </c>
      <c r="F78" s="1">
        <v>20</v>
      </c>
      <c r="G78" s="1">
        <v>98.076999999999998</v>
      </c>
      <c r="H78" s="1">
        <v>50</v>
      </c>
      <c r="I78" s="1">
        <v>8</v>
      </c>
      <c r="J78" s="1">
        <v>42</v>
      </c>
      <c r="K78" s="3">
        <v>0.16</v>
      </c>
      <c r="L78" s="2">
        <v>143</v>
      </c>
      <c r="M78" s="1">
        <v>25.5</v>
      </c>
      <c r="N78" s="2">
        <v>0.4</v>
      </c>
      <c r="O78" s="2">
        <v>1.9615400000000001</v>
      </c>
      <c r="P78" s="2">
        <v>72.901903606350118</v>
      </c>
      <c r="Q78" s="2">
        <v>72.901903606350118</v>
      </c>
      <c r="R78" s="4" t="s">
        <v>25</v>
      </c>
      <c r="S78" s="4" t="s">
        <v>20</v>
      </c>
    </row>
    <row r="79" spans="1:19" ht="15.75" customHeight="1" x14ac:dyDescent="0.25">
      <c r="A79" s="1">
        <v>16739</v>
      </c>
      <c r="B79" s="9" t="s">
        <v>113</v>
      </c>
      <c r="C79" s="2">
        <v>1.0573442790815799</v>
      </c>
      <c r="D79" s="1" t="s">
        <v>23</v>
      </c>
      <c r="E79" s="1" t="s">
        <v>27</v>
      </c>
      <c r="F79" s="1">
        <v>53</v>
      </c>
      <c r="G79" s="1">
        <v>139.09800000000001</v>
      </c>
      <c r="H79" s="1">
        <v>576</v>
      </c>
      <c r="I79" s="1">
        <v>396</v>
      </c>
      <c r="J79" s="1">
        <v>180</v>
      </c>
      <c r="K79" s="3">
        <v>0.6875</v>
      </c>
      <c r="L79" s="2">
        <v>36.883838383838381</v>
      </c>
      <c r="M79" s="1">
        <v>14</v>
      </c>
      <c r="N79" s="2">
        <v>9.2013888888888895E-2</v>
      </c>
      <c r="O79" s="2">
        <v>0.24148958333333337</v>
      </c>
      <c r="P79" s="2">
        <v>152.73469718537223</v>
      </c>
      <c r="Q79" s="2">
        <v>152.73469718537223</v>
      </c>
      <c r="R79" s="4" t="s">
        <v>25</v>
      </c>
      <c r="S79" s="4" t="s">
        <v>22</v>
      </c>
    </row>
    <row r="80" spans="1:19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S79" xr:uid="{00000000-0009-0000-0000-000000000000}"/>
  <phoneticPr fontId="8" type="noConversion"/>
  <conditionalFormatting sqref="C2:C7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:F79">
    <cfRule type="cellIs" dxfId="1" priority="2" operator="equal">
      <formula>2</formula>
    </cfRule>
  </conditionalFormatting>
  <conditionalFormatting sqref="K2:K79">
    <cfRule type="colorScale" priority="3">
      <colorScale>
        <cfvo type="min"/>
        <cfvo type="max"/>
        <color rgb="FFFCFCFF"/>
        <color rgb="FFF8696B"/>
      </colorScale>
    </cfRule>
  </conditionalFormatting>
  <conditionalFormatting sqref="L2:M7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A2985-5429-4DAB-8110-BE3B5DE56C2E}">
  <dimension ref="B1:Y79"/>
  <sheetViews>
    <sheetView showGridLines="0" workbookViewId="0">
      <selection activeCell="E12" sqref="E12"/>
    </sheetView>
  </sheetViews>
  <sheetFormatPr defaultRowHeight="15" x14ac:dyDescent="0.25"/>
  <sheetData>
    <row r="1" spans="2:25" x14ac:dyDescent="0.25">
      <c r="H1" s="7" t="s">
        <v>0</v>
      </c>
      <c r="I1" s="7" t="s">
        <v>1</v>
      </c>
      <c r="J1" s="7" t="s">
        <v>2</v>
      </c>
      <c r="K1" s="7" t="s">
        <v>3</v>
      </c>
      <c r="L1" s="7" t="s">
        <v>4</v>
      </c>
      <c r="M1" s="7" t="s">
        <v>5</v>
      </c>
      <c r="N1" s="8" t="s">
        <v>6</v>
      </c>
      <c r="O1" s="8" t="s">
        <v>7</v>
      </c>
      <c r="P1" s="8" t="s">
        <v>8</v>
      </c>
      <c r="Q1" s="8" t="s">
        <v>9</v>
      </c>
      <c r="R1" s="8" t="s">
        <v>10</v>
      </c>
      <c r="S1" s="8" t="s">
        <v>11</v>
      </c>
      <c r="T1" s="8" t="s">
        <v>12</v>
      </c>
      <c r="U1" s="8" t="s">
        <v>13</v>
      </c>
      <c r="V1" s="8" t="s">
        <v>14</v>
      </c>
      <c r="W1" s="8" t="s">
        <v>15</v>
      </c>
      <c r="X1" s="8" t="s">
        <v>16</v>
      </c>
      <c r="Y1" s="8" t="s">
        <v>17</v>
      </c>
    </row>
    <row r="2" spans="2:25" x14ac:dyDescent="0.25">
      <c r="H2" s="1">
        <v>1208</v>
      </c>
      <c r="I2" s="2">
        <v>1.2673796791443801</v>
      </c>
      <c r="J2" s="1" t="s">
        <v>18</v>
      </c>
      <c r="K2" s="1" t="s">
        <v>19</v>
      </c>
      <c r="L2" s="1">
        <v>11</v>
      </c>
      <c r="M2" s="1">
        <v>961.13499999999999</v>
      </c>
      <c r="N2" s="1">
        <v>202</v>
      </c>
      <c r="O2" s="1">
        <v>79</v>
      </c>
      <c r="P2" s="1">
        <v>123</v>
      </c>
      <c r="Q2" s="3">
        <v>0.3910891089108911</v>
      </c>
      <c r="R2" s="2">
        <v>366.44303797468348</v>
      </c>
      <c r="S2" s="1">
        <v>59</v>
      </c>
      <c r="T2" s="2">
        <v>5.4455445544554455E-2</v>
      </c>
      <c r="U2" s="2">
        <v>4.7580940594059404</v>
      </c>
      <c r="V2" s="2">
        <v>77.014668772738545</v>
      </c>
      <c r="W2" s="2">
        <v>77.014668772738545</v>
      </c>
      <c r="X2" s="4">
        <v>1</v>
      </c>
      <c r="Y2" s="4" t="s">
        <v>20</v>
      </c>
    </row>
    <row r="3" spans="2:25" x14ac:dyDescent="0.25">
      <c r="B3" s="10"/>
      <c r="C3" s="11" t="s">
        <v>31</v>
      </c>
      <c r="D3" s="11" t="s">
        <v>32</v>
      </c>
      <c r="E3" s="11" t="s">
        <v>34</v>
      </c>
      <c r="F3" s="13" t="s">
        <v>33</v>
      </c>
      <c r="H3" s="1">
        <v>4137</v>
      </c>
      <c r="I3" s="2">
        <v>1.65170333569907</v>
      </c>
      <c r="J3" s="1" t="s">
        <v>18</v>
      </c>
      <c r="K3" s="1" t="s">
        <v>24</v>
      </c>
      <c r="L3" s="1">
        <v>62</v>
      </c>
      <c r="M3" s="1">
        <v>1.3049999999999999</v>
      </c>
      <c r="N3" s="1">
        <v>341</v>
      </c>
      <c r="O3" s="1">
        <v>321</v>
      </c>
      <c r="P3" s="1">
        <v>20</v>
      </c>
      <c r="Q3" s="3">
        <v>0.94134897360703818</v>
      </c>
      <c r="R3" s="2">
        <v>41.242990654205613</v>
      </c>
      <c r="S3" s="1">
        <v>37</v>
      </c>
      <c r="T3" s="2">
        <v>0.18181818181818182</v>
      </c>
      <c r="U3" s="2">
        <v>3.8269794721407621E-3</v>
      </c>
      <c r="V3" s="2">
        <v>10776.904071328823</v>
      </c>
      <c r="W3" s="2">
        <v>10776.904071328823</v>
      </c>
      <c r="X3" s="4">
        <v>1</v>
      </c>
      <c r="Y3" s="4" t="s">
        <v>20</v>
      </c>
    </row>
    <row r="4" spans="2:25" x14ac:dyDescent="0.25">
      <c r="B4" s="12" t="s">
        <v>28</v>
      </c>
      <c r="C4" s="14">
        <f>MEDIAN(N65:N79)</f>
        <v>405</v>
      </c>
      <c r="D4" s="14">
        <f>MEDIAN(L65:L79)</f>
        <v>79</v>
      </c>
      <c r="E4" s="15">
        <f>MEDIAN(U65:U79)</f>
        <v>0.57165648854961837</v>
      </c>
      <c r="F4" s="15">
        <f>MEDIAN(W65:W79)</f>
        <v>102.39425646924603</v>
      </c>
      <c r="H4" s="1">
        <v>4196</v>
      </c>
      <c r="I4" s="2">
        <v>1.02755064194358</v>
      </c>
      <c r="J4" s="1" t="s">
        <v>18</v>
      </c>
      <c r="K4" s="1" t="s">
        <v>24</v>
      </c>
      <c r="L4" s="1">
        <v>51</v>
      </c>
      <c r="M4" s="1">
        <v>0.74299999999999999</v>
      </c>
      <c r="N4" s="1">
        <v>62</v>
      </c>
      <c r="O4" s="1">
        <v>59</v>
      </c>
      <c r="P4" s="1">
        <v>3</v>
      </c>
      <c r="Q4" s="3">
        <v>0.95161290322580649</v>
      </c>
      <c r="R4" s="2">
        <v>89.694915254237287</v>
      </c>
      <c r="S4" s="1">
        <v>85</v>
      </c>
      <c r="T4" s="2">
        <v>0.82258064516129037</v>
      </c>
      <c r="U4" s="2">
        <v>1.1983870967741936E-2</v>
      </c>
      <c r="V4" s="2">
        <v>7484.6362661678486</v>
      </c>
      <c r="W4" s="2">
        <v>7484.6362661678486</v>
      </c>
      <c r="X4" s="4">
        <v>2</v>
      </c>
      <c r="Y4" s="4" t="s">
        <v>20</v>
      </c>
    </row>
    <row r="5" spans="2:25" x14ac:dyDescent="0.25">
      <c r="B5" s="12" t="s">
        <v>29</v>
      </c>
      <c r="C5" s="14">
        <f>MEDIAN(N2:N40)</f>
        <v>23</v>
      </c>
      <c r="D5" s="14">
        <f>MEDIAN(L2:L40)</f>
        <v>2</v>
      </c>
      <c r="E5" s="15">
        <f>MEDIAN(U2:U40)</f>
        <v>0.53598969072164948</v>
      </c>
      <c r="F5" s="15">
        <f>MEDIAN(W2:W40)</f>
        <v>262.36363636363637</v>
      </c>
      <c r="H5" s="1">
        <v>5231</v>
      </c>
      <c r="I5" s="2">
        <v>1.0064137611977899</v>
      </c>
      <c r="J5" s="1" t="s">
        <v>18</v>
      </c>
      <c r="K5" s="1" t="s">
        <v>21</v>
      </c>
      <c r="L5" s="1">
        <v>70</v>
      </c>
      <c r="M5" s="1">
        <v>8.0269999999999992</v>
      </c>
      <c r="N5" s="1">
        <v>118</v>
      </c>
      <c r="O5" s="1">
        <v>106</v>
      </c>
      <c r="P5" s="1">
        <v>12</v>
      </c>
      <c r="Q5" s="3">
        <v>0.89830508474576276</v>
      </c>
      <c r="R5" s="2">
        <v>66.273584905660371</v>
      </c>
      <c r="S5" s="1">
        <v>50</v>
      </c>
      <c r="T5" s="2">
        <v>0.59322033898305082</v>
      </c>
      <c r="U5" s="2">
        <v>6.8025423728813553E-2</v>
      </c>
      <c r="V5" s="2">
        <v>974.24729274547451</v>
      </c>
      <c r="W5" s="2">
        <v>974.24729274547451</v>
      </c>
      <c r="X5" s="4" t="s">
        <v>25</v>
      </c>
      <c r="Y5" s="4" t="s">
        <v>20</v>
      </c>
    </row>
    <row r="6" spans="2:25" x14ac:dyDescent="0.25">
      <c r="B6" s="12" t="s">
        <v>30</v>
      </c>
      <c r="C6" s="14">
        <f>MEDIAN(N41:N64)</f>
        <v>323</v>
      </c>
      <c r="D6" s="14">
        <f>MEDIAN(L41:L64)</f>
        <v>61</v>
      </c>
      <c r="E6" s="15">
        <f>MEDIAN(U41:U64)</f>
        <v>0.2430803531639929</v>
      </c>
      <c r="F6" s="15">
        <f>MEDIAN(W41:W64)</f>
        <v>150.92362669049055</v>
      </c>
      <c r="H6" s="1">
        <v>6447</v>
      </c>
      <c r="I6" s="2">
        <v>1.125</v>
      </c>
      <c r="J6" s="1" t="s">
        <v>18</v>
      </c>
      <c r="K6" s="1" t="s">
        <v>19</v>
      </c>
      <c r="L6" s="1">
        <v>2</v>
      </c>
      <c r="M6" s="1">
        <v>5.7519999999999998</v>
      </c>
      <c r="N6" s="1">
        <v>9</v>
      </c>
      <c r="O6" s="1">
        <v>6</v>
      </c>
      <c r="P6" s="1">
        <v>3</v>
      </c>
      <c r="Q6" s="3">
        <v>0.66666666666666663</v>
      </c>
      <c r="R6" s="2">
        <v>183.83333333333329</v>
      </c>
      <c r="S6" s="1">
        <v>3.5</v>
      </c>
      <c r="T6" s="2">
        <v>0.22222222222222221</v>
      </c>
      <c r="U6" s="2">
        <v>0.63911111111111107</v>
      </c>
      <c r="V6" s="2">
        <v>287.63908205841437</v>
      </c>
      <c r="W6" s="2">
        <v>287.63908205841437</v>
      </c>
      <c r="X6" s="4" t="s">
        <v>25</v>
      </c>
      <c r="Y6" s="4" t="s">
        <v>20</v>
      </c>
    </row>
    <row r="7" spans="2:25" x14ac:dyDescent="0.25">
      <c r="H7" s="1">
        <v>6464</v>
      </c>
      <c r="I7" s="2">
        <v>1.0370370370370301</v>
      </c>
      <c r="J7" s="1" t="s">
        <v>18</v>
      </c>
      <c r="K7" s="1" t="s">
        <v>19</v>
      </c>
      <c r="L7" s="1">
        <v>2</v>
      </c>
      <c r="M7" s="1">
        <v>9.1029999999999998</v>
      </c>
      <c r="N7" s="1">
        <v>12</v>
      </c>
      <c r="O7" s="1">
        <v>11</v>
      </c>
      <c r="P7" s="1">
        <v>1</v>
      </c>
      <c r="Q7" s="3">
        <v>0.91666666666666663</v>
      </c>
      <c r="R7" s="2">
        <v>71.909090909090907</v>
      </c>
      <c r="S7" s="1">
        <v>31</v>
      </c>
      <c r="T7" s="2">
        <v>0.16666666666666666</v>
      </c>
      <c r="U7" s="2">
        <v>0.75858333333333328</v>
      </c>
      <c r="V7" s="2">
        <v>94.793924080972303</v>
      </c>
      <c r="W7" s="2">
        <v>94.793924080972303</v>
      </c>
      <c r="X7" s="4" t="s">
        <v>25</v>
      </c>
      <c r="Y7" s="4" t="s">
        <v>20</v>
      </c>
    </row>
    <row r="8" spans="2:25" x14ac:dyDescent="0.25">
      <c r="H8" s="1">
        <v>6512</v>
      </c>
      <c r="I8" s="2">
        <v>1.09375</v>
      </c>
      <c r="J8" s="1" t="s">
        <v>18</v>
      </c>
      <c r="K8" s="1" t="s">
        <v>19</v>
      </c>
      <c r="L8" s="1">
        <v>3</v>
      </c>
      <c r="M8" s="1">
        <v>6.2439999999999998</v>
      </c>
      <c r="N8" s="1">
        <v>6</v>
      </c>
      <c r="O8" s="1">
        <v>5</v>
      </c>
      <c r="P8" s="1">
        <v>1</v>
      </c>
      <c r="Q8" s="3">
        <v>0.83333333333333337</v>
      </c>
      <c r="R8" s="2">
        <v>140.19999999999999</v>
      </c>
      <c r="S8" s="1">
        <v>18</v>
      </c>
      <c r="T8" s="2">
        <v>0.5</v>
      </c>
      <c r="U8" s="2">
        <v>1.0406666666666666</v>
      </c>
      <c r="V8" s="2">
        <v>134.72133247918001</v>
      </c>
      <c r="W8" s="2">
        <v>134.72133247918001</v>
      </c>
      <c r="X8" s="4" t="s">
        <v>25</v>
      </c>
      <c r="Y8" s="4" t="s">
        <v>20</v>
      </c>
    </row>
    <row r="9" spans="2:25" x14ac:dyDescent="0.25">
      <c r="H9" s="1">
        <v>6522</v>
      </c>
      <c r="I9" s="2">
        <v>1.0387999999999999</v>
      </c>
      <c r="J9" s="1" t="s">
        <v>18</v>
      </c>
      <c r="K9" s="1" t="s">
        <v>19</v>
      </c>
      <c r="L9" s="1">
        <v>2</v>
      </c>
      <c r="M9" s="1">
        <v>9.9450000000000003</v>
      </c>
      <c r="N9" s="1">
        <v>12</v>
      </c>
      <c r="O9" s="1">
        <v>8</v>
      </c>
      <c r="P9" s="1">
        <v>4</v>
      </c>
      <c r="Q9" s="3">
        <v>0.66666666666666663</v>
      </c>
      <c r="R9" s="2">
        <v>296.75</v>
      </c>
      <c r="S9" s="1">
        <v>89</v>
      </c>
      <c r="T9" s="2">
        <v>0.16666666666666666</v>
      </c>
      <c r="U9" s="2">
        <v>0.82874999999999999</v>
      </c>
      <c r="V9" s="2">
        <v>358.06938159879337</v>
      </c>
      <c r="W9" s="2">
        <v>358.06938159879337</v>
      </c>
      <c r="X9" s="4" t="s">
        <v>25</v>
      </c>
      <c r="Y9" s="4" t="s">
        <v>20</v>
      </c>
    </row>
    <row r="10" spans="2:25" x14ac:dyDescent="0.25">
      <c r="H10" s="1">
        <v>6523</v>
      </c>
      <c r="I10" s="2">
        <v>1.06717689367185</v>
      </c>
      <c r="J10" s="1" t="s">
        <v>18</v>
      </c>
      <c r="K10" s="1" t="s">
        <v>19</v>
      </c>
      <c r="L10" s="1">
        <v>2</v>
      </c>
      <c r="M10" s="1">
        <v>5.952</v>
      </c>
      <c r="N10" s="1">
        <v>23</v>
      </c>
      <c r="O10" s="1">
        <v>19</v>
      </c>
      <c r="P10" s="1">
        <v>4</v>
      </c>
      <c r="Q10" s="3">
        <v>0.82608695652173914</v>
      </c>
      <c r="R10" s="2">
        <v>138.0526315789474</v>
      </c>
      <c r="S10" s="1">
        <v>98</v>
      </c>
      <c r="T10" s="2">
        <v>8.6956521739130432E-2</v>
      </c>
      <c r="U10" s="2">
        <v>0.25878260869565217</v>
      </c>
      <c r="V10" s="2">
        <v>533.46951046972276</v>
      </c>
      <c r="W10" s="2">
        <v>533.46951046972276</v>
      </c>
      <c r="X10" s="4" t="s">
        <v>25</v>
      </c>
      <c r="Y10" s="4" t="s">
        <v>20</v>
      </c>
    </row>
    <row r="11" spans="2:25" x14ac:dyDescent="0.25">
      <c r="H11" s="1">
        <v>6526</v>
      </c>
      <c r="I11" s="2">
        <v>1.0204533611255799</v>
      </c>
      <c r="J11" s="1" t="s">
        <v>18</v>
      </c>
      <c r="K11" s="1" t="s">
        <v>19</v>
      </c>
      <c r="L11" s="1">
        <v>2</v>
      </c>
      <c r="M11" s="1">
        <v>6.1589999999999998</v>
      </c>
      <c r="N11" s="1">
        <v>9</v>
      </c>
      <c r="O11" s="1">
        <v>7</v>
      </c>
      <c r="P11" s="1">
        <v>2</v>
      </c>
      <c r="Q11" s="3">
        <v>0.77777777777777779</v>
      </c>
      <c r="R11" s="2">
        <v>160.14285714285711</v>
      </c>
      <c r="S11" s="1">
        <v>150</v>
      </c>
      <c r="T11" s="2">
        <v>0.22222222222222221</v>
      </c>
      <c r="U11" s="2">
        <v>0.68433333333333335</v>
      </c>
      <c r="V11" s="2">
        <v>234.01294273189058</v>
      </c>
      <c r="W11" s="2">
        <v>234.01294273189058</v>
      </c>
      <c r="X11" s="4" t="s">
        <v>25</v>
      </c>
      <c r="Y11" s="4" t="s">
        <v>20</v>
      </c>
    </row>
    <row r="12" spans="2:25" x14ac:dyDescent="0.25">
      <c r="H12" s="1">
        <v>6527</v>
      </c>
      <c r="I12" s="2">
        <v>1.0743541272841799</v>
      </c>
      <c r="J12" s="1" t="s">
        <v>18</v>
      </c>
      <c r="K12" s="1" t="s">
        <v>19</v>
      </c>
      <c r="L12" s="1">
        <v>2</v>
      </c>
      <c r="M12" s="1">
        <v>5.4589999999999996</v>
      </c>
      <c r="N12" s="1">
        <v>15</v>
      </c>
      <c r="O12" s="1">
        <v>11</v>
      </c>
      <c r="P12" s="1">
        <v>4</v>
      </c>
      <c r="Q12" s="3">
        <v>0.73333333333333328</v>
      </c>
      <c r="R12" s="2">
        <v>65.181818181818187</v>
      </c>
      <c r="S12" s="1">
        <v>52</v>
      </c>
      <c r="T12" s="2">
        <v>0.13333333333333333</v>
      </c>
      <c r="U12" s="2">
        <v>0.36393333333333333</v>
      </c>
      <c r="V12" s="2">
        <v>179.10373195223903</v>
      </c>
      <c r="W12" s="2">
        <v>179.10373195223903</v>
      </c>
      <c r="X12" s="4" t="s">
        <v>25</v>
      </c>
      <c r="Y12" s="4" t="s">
        <v>20</v>
      </c>
    </row>
    <row r="13" spans="2:25" x14ac:dyDescent="0.25">
      <c r="H13" s="1">
        <v>6530</v>
      </c>
      <c r="I13" s="2">
        <v>1.1093304843304801</v>
      </c>
      <c r="J13" s="1" t="s">
        <v>18</v>
      </c>
      <c r="K13" s="1" t="s">
        <v>19</v>
      </c>
      <c r="L13" s="1">
        <v>2</v>
      </c>
      <c r="M13" s="1">
        <v>6.6</v>
      </c>
      <c r="N13" s="1">
        <v>18</v>
      </c>
      <c r="O13" s="1">
        <v>15</v>
      </c>
      <c r="P13" s="1">
        <v>3</v>
      </c>
      <c r="Q13" s="3">
        <v>0.83333333333333337</v>
      </c>
      <c r="R13" s="2">
        <v>96.2</v>
      </c>
      <c r="S13" s="1">
        <v>25</v>
      </c>
      <c r="T13" s="2">
        <v>0.1111111111111111</v>
      </c>
      <c r="U13" s="2">
        <v>0.36666666666666664</v>
      </c>
      <c r="V13" s="2">
        <v>262.36363636363637</v>
      </c>
      <c r="W13" s="2">
        <v>262.36363636363637</v>
      </c>
      <c r="X13" s="4" t="s">
        <v>25</v>
      </c>
      <c r="Y13" s="4" t="s">
        <v>20</v>
      </c>
    </row>
    <row r="14" spans="2:25" x14ac:dyDescent="0.25">
      <c r="H14" s="1">
        <v>6589</v>
      </c>
      <c r="I14" s="2">
        <v>1.13116197183098</v>
      </c>
      <c r="J14" s="1" t="s">
        <v>18</v>
      </c>
      <c r="K14" s="1" t="s">
        <v>19</v>
      </c>
      <c r="L14" s="1">
        <v>2</v>
      </c>
      <c r="M14" s="1">
        <v>5.8689999999999998</v>
      </c>
      <c r="N14" s="1">
        <v>12</v>
      </c>
      <c r="O14" s="1">
        <v>6</v>
      </c>
      <c r="P14" s="1">
        <v>6</v>
      </c>
      <c r="Q14" s="3">
        <v>0.5</v>
      </c>
      <c r="R14" s="2">
        <v>20.5</v>
      </c>
      <c r="S14" s="1">
        <v>13</v>
      </c>
      <c r="T14" s="2">
        <v>0.16666666666666666</v>
      </c>
      <c r="U14" s="2">
        <v>0.48908333333333331</v>
      </c>
      <c r="V14" s="2">
        <v>41.915147384562957</v>
      </c>
      <c r="W14" s="2">
        <v>41.915147384562957</v>
      </c>
      <c r="X14" s="4" t="s">
        <v>25</v>
      </c>
      <c r="Y14" s="4" t="s">
        <v>20</v>
      </c>
    </row>
    <row r="15" spans="2:25" x14ac:dyDescent="0.25">
      <c r="H15" s="1">
        <v>6604</v>
      </c>
      <c r="I15" s="2">
        <v>1.1045454545454501</v>
      </c>
      <c r="J15" s="1" t="s">
        <v>18</v>
      </c>
      <c r="K15" s="1" t="s">
        <v>19</v>
      </c>
      <c r="L15" s="1">
        <v>2</v>
      </c>
      <c r="M15" s="1">
        <v>9.4009999999999998</v>
      </c>
      <c r="N15" s="1">
        <v>12</v>
      </c>
      <c r="O15" s="1">
        <v>10</v>
      </c>
      <c r="P15" s="1">
        <v>2</v>
      </c>
      <c r="Q15" s="3">
        <v>0.83333333333333337</v>
      </c>
      <c r="R15" s="2">
        <v>93.2</v>
      </c>
      <c r="S15" s="1">
        <v>58</v>
      </c>
      <c r="T15" s="2">
        <v>0.16666666666666666</v>
      </c>
      <c r="U15" s="2">
        <v>0.78341666666666665</v>
      </c>
      <c r="V15" s="2">
        <v>118.96606743963409</v>
      </c>
      <c r="W15" s="2">
        <v>118.96606743963409</v>
      </c>
      <c r="X15" s="4" t="s">
        <v>25</v>
      </c>
      <c r="Y15" s="4" t="s">
        <v>20</v>
      </c>
    </row>
    <row r="16" spans="2:25" x14ac:dyDescent="0.25">
      <c r="H16" s="1">
        <v>6620</v>
      </c>
      <c r="I16" s="2">
        <v>1.0588235294117601</v>
      </c>
      <c r="J16" s="1" t="s">
        <v>18</v>
      </c>
      <c r="K16" s="1" t="s">
        <v>19</v>
      </c>
      <c r="L16" s="1">
        <v>2</v>
      </c>
      <c r="M16" s="1">
        <v>5.6289999999999996</v>
      </c>
      <c r="N16" s="1">
        <v>9</v>
      </c>
      <c r="O16" s="1">
        <v>4</v>
      </c>
      <c r="P16" s="1">
        <v>5</v>
      </c>
      <c r="Q16" s="3">
        <v>0.44444444444444442</v>
      </c>
      <c r="R16" s="2">
        <v>96.25</v>
      </c>
      <c r="S16" s="1">
        <v>30</v>
      </c>
      <c r="T16" s="2">
        <v>0.22222222222222221</v>
      </c>
      <c r="U16" s="2">
        <v>0.62544444444444436</v>
      </c>
      <c r="V16" s="2">
        <v>153.89056670811868</v>
      </c>
      <c r="W16" s="2">
        <v>153.89056670811868</v>
      </c>
      <c r="X16" s="4" t="s">
        <v>25</v>
      </c>
      <c r="Y16" s="4" t="s">
        <v>20</v>
      </c>
    </row>
    <row r="17" spans="8:25" x14ac:dyDescent="0.25">
      <c r="H17" s="1">
        <v>6666</v>
      </c>
      <c r="I17" s="2">
        <v>1.1000000000000001</v>
      </c>
      <c r="J17" s="1" t="s">
        <v>18</v>
      </c>
      <c r="K17" s="1" t="s">
        <v>19</v>
      </c>
      <c r="L17" s="1">
        <v>2</v>
      </c>
      <c r="M17" s="1">
        <v>7.26</v>
      </c>
      <c r="N17" s="1">
        <v>12</v>
      </c>
      <c r="O17" s="1">
        <v>4</v>
      </c>
      <c r="P17" s="1">
        <v>8</v>
      </c>
      <c r="Q17" s="3">
        <v>0.33333333333333331</v>
      </c>
      <c r="R17" s="2">
        <v>41.75</v>
      </c>
      <c r="S17" s="1">
        <v>30.5</v>
      </c>
      <c r="T17" s="2">
        <v>0.16666666666666666</v>
      </c>
      <c r="U17" s="2">
        <v>0.60499999999999998</v>
      </c>
      <c r="V17" s="2">
        <v>69.008264462809919</v>
      </c>
      <c r="W17" s="2">
        <v>69.008264462809919</v>
      </c>
      <c r="X17" s="4" t="s">
        <v>25</v>
      </c>
      <c r="Y17" s="4" t="s">
        <v>20</v>
      </c>
    </row>
    <row r="18" spans="8:25" x14ac:dyDescent="0.25">
      <c r="H18" s="1">
        <v>6708</v>
      </c>
      <c r="I18" s="2">
        <v>1.3203761755485801</v>
      </c>
      <c r="J18" s="1" t="s">
        <v>18</v>
      </c>
      <c r="K18" s="1" t="s">
        <v>19</v>
      </c>
      <c r="L18" s="1">
        <v>2</v>
      </c>
      <c r="M18" s="1">
        <v>11.647</v>
      </c>
      <c r="N18" s="1">
        <v>16</v>
      </c>
      <c r="O18" s="1">
        <v>13</v>
      </c>
      <c r="P18" s="1">
        <v>3</v>
      </c>
      <c r="Q18" s="3">
        <v>0.8125</v>
      </c>
      <c r="R18" s="2">
        <v>107.30769230769231</v>
      </c>
      <c r="S18" s="1">
        <v>72</v>
      </c>
      <c r="T18" s="2">
        <v>0.125</v>
      </c>
      <c r="U18" s="2">
        <v>0.72793750000000002</v>
      </c>
      <c r="V18" s="2">
        <v>147.4133319243648</v>
      </c>
      <c r="W18" s="2">
        <v>147.4133319243648</v>
      </c>
      <c r="X18" s="4" t="s">
        <v>25</v>
      </c>
      <c r="Y18" s="4" t="s">
        <v>20</v>
      </c>
    </row>
    <row r="19" spans="8:25" x14ac:dyDescent="0.25">
      <c r="H19" s="1">
        <v>6715</v>
      </c>
      <c r="I19" s="2">
        <v>1.0498768472906399</v>
      </c>
      <c r="J19" s="1" t="s">
        <v>18</v>
      </c>
      <c r="K19" s="1" t="s">
        <v>19</v>
      </c>
      <c r="L19" s="1">
        <v>2</v>
      </c>
      <c r="M19" s="1">
        <v>5.9489999999999998</v>
      </c>
      <c r="N19" s="1">
        <v>15</v>
      </c>
      <c r="O19" s="1">
        <v>11</v>
      </c>
      <c r="P19" s="1">
        <v>4</v>
      </c>
      <c r="Q19" s="3">
        <v>0.73333333333333328</v>
      </c>
      <c r="R19" s="2">
        <v>91.727272727272734</v>
      </c>
      <c r="S19" s="1">
        <v>55</v>
      </c>
      <c r="T19" s="2">
        <v>0.13333333333333333</v>
      </c>
      <c r="U19" s="2">
        <v>0.39660000000000001</v>
      </c>
      <c r="V19" s="2">
        <v>231.28409663961858</v>
      </c>
      <c r="W19" s="2">
        <v>231.28409663961858</v>
      </c>
      <c r="X19" s="4" t="s">
        <v>25</v>
      </c>
      <c r="Y19" s="4" t="s">
        <v>20</v>
      </c>
    </row>
    <row r="20" spans="8:25" x14ac:dyDescent="0.25">
      <c r="H20" s="1">
        <v>6751</v>
      </c>
      <c r="I20" s="2">
        <v>1.0614772224679301</v>
      </c>
      <c r="J20" s="1" t="s">
        <v>18</v>
      </c>
      <c r="K20" s="1" t="s">
        <v>19</v>
      </c>
      <c r="L20" s="1">
        <v>2</v>
      </c>
      <c r="M20" s="1">
        <v>7.0670000000000002</v>
      </c>
      <c r="N20" s="1">
        <v>28</v>
      </c>
      <c r="O20" s="1">
        <v>16</v>
      </c>
      <c r="P20" s="1">
        <v>12</v>
      </c>
      <c r="Q20" s="3">
        <v>0.5714285714285714</v>
      </c>
      <c r="R20" s="2">
        <v>137.4375</v>
      </c>
      <c r="S20" s="1">
        <v>55</v>
      </c>
      <c r="T20" s="2">
        <v>7.1428571428571425E-2</v>
      </c>
      <c r="U20" s="2">
        <v>0.25239285714285714</v>
      </c>
      <c r="V20" s="2">
        <v>544.53799349087308</v>
      </c>
      <c r="W20" s="2">
        <v>544.53799349087308</v>
      </c>
      <c r="X20" s="4" t="s">
        <v>25</v>
      </c>
      <c r="Y20" s="4" t="s">
        <v>20</v>
      </c>
    </row>
    <row r="21" spans="8:25" x14ac:dyDescent="0.25">
      <c r="H21" s="1">
        <v>6752</v>
      </c>
      <c r="I21" s="2">
        <v>1.3571428571428501</v>
      </c>
      <c r="J21" s="1" t="s">
        <v>18</v>
      </c>
      <c r="K21" s="1" t="s">
        <v>19</v>
      </c>
      <c r="L21" s="1">
        <v>2</v>
      </c>
      <c r="M21" s="1">
        <v>6.34</v>
      </c>
      <c r="N21" s="1">
        <v>12</v>
      </c>
      <c r="O21" s="1">
        <v>5</v>
      </c>
      <c r="P21" s="1">
        <v>7</v>
      </c>
      <c r="Q21" s="3">
        <v>0.41666666666666669</v>
      </c>
      <c r="R21" s="2">
        <v>34.799999999999997</v>
      </c>
      <c r="S21" s="1">
        <v>33</v>
      </c>
      <c r="T21" s="2">
        <v>0.16666666666666666</v>
      </c>
      <c r="U21" s="2">
        <v>0.52833333333333332</v>
      </c>
      <c r="V21" s="2">
        <v>65.867507886435334</v>
      </c>
      <c r="W21" s="2">
        <v>65.867507886435334</v>
      </c>
      <c r="X21" s="4" t="s">
        <v>25</v>
      </c>
      <c r="Y21" s="4" t="s">
        <v>20</v>
      </c>
    </row>
    <row r="22" spans="8:25" x14ac:dyDescent="0.25">
      <c r="H22" s="1">
        <v>6768</v>
      </c>
      <c r="I22" s="2">
        <v>1.24296675191815</v>
      </c>
      <c r="J22" s="1" t="s">
        <v>18</v>
      </c>
      <c r="K22" s="1" t="s">
        <v>19</v>
      </c>
      <c r="L22" s="1">
        <v>2</v>
      </c>
      <c r="M22" s="1">
        <v>5.7329999999999997</v>
      </c>
      <c r="N22" s="1">
        <v>25</v>
      </c>
      <c r="O22" s="1">
        <v>9</v>
      </c>
      <c r="P22" s="1">
        <v>16</v>
      </c>
      <c r="Q22" s="3">
        <v>0.36</v>
      </c>
      <c r="R22" s="2">
        <v>131.44444444444451</v>
      </c>
      <c r="S22" s="1">
        <v>46</v>
      </c>
      <c r="T22" s="2">
        <v>0.08</v>
      </c>
      <c r="U22" s="2">
        <v>0.22932</v>
      </c>
      <c r="V22" s="2">
        <v>573.19223985890687</v>
      </c>
      <c r="W22" s="2">
        <v>573.19223985890687</v>
      </c>
      <c r="X22" s="4" t="s">
        <v>25</v>
      </c>
      <c r="Y22" s="4" t="s">
        <v>20</v>
      </c>
    </row>
    <row r="23" spans="8:25" x14ac:dyDescent="0.25">
      <c r="H23" s="1">
        <v>6811</v>
      </c>
      <c r="I23" s="2">
        <v>1.0062500000000001</v>
      </c>
      <c r="J23" s="1" t="s">
        <v>18</v>
      </c>
      <c r="K23" s="1" t="s">
        <v>19</v>
      </c>
      <c r="L23" s="1">
        <v>3</v>
      </c>
      <c r="M23" s="1">
        <v>7.8029999999999999</v>
      </c>
      <c r="N23" s="1">
        <v>9</v>
      </c>
      <c r="O23" s="1">
        <v>8</v>
      </c>
      <c r="P23" s="1">
        <v>1</v>
      </c>
      <c r="Q23" s="3">
        <v>0.88888888888888884</v>
      </c>
      <c r="R23" s="2">
        <v>260.875</v>
      </c>
      <c r="S23" s="1">
        <v>41.5</v>
      </c>
      <c r="T23" s="2">
        <v>0.33333333333333331</v>
      </c>
      <c r="U23" s="2">
        <v>0.86699999999999999</v>
      </c>
      <c r="V23" s="2">
        <v>300.89388696655135</v>
      </c>
      <c r="W23" s="2">
        <v>300.89388696655135</v>
      </c>
      <c r="X23" s="4" t="s">
        <v>25</v>
      </c>
      <c r="Y23" s="4" t="s">
        <v>20</v>
      </c>
    </row>
    <row r="24" spans="8:25" x14ac:dyDescent="0.25">
      <c r="H24" s="1">
        <v>6812</v>
      </c>
      <c r="I24" s="2">
        <v>1.18173431734317</v>
      </c>
      <c r="J24" s="1" t="s">
        <v>18</v>
      </c>
      <c r="K24" s="1" t="s">
        <v>19</v>
      </c>
      <c r="L24" s="1">
        <v>2</v>
      </c>
      <c r="M24" s="1">
        <v>6.4530000000000003</v>
      </c>
      <c r="N24" s="1">
        <v>12</v>
      </c>
      <c r="O24" s="1">
        <v>8</v>
      </c>
      <c r="P24" s="1">
        <v>4</v>
      </c>
      <c r="Q24" s="3">
        <v>0.66666666666666663</v>
      </c>
      <c r="R24" s="2">
        <v>196.875</v>
      </c>
      <c r="S24" s="1">
        <v>23.5</v>
      </c>
      <c r="T24" s="2">
        <v>0.16666666666666666</v>
      </c>
      <c r="U24" s="2">
        <v>0.53775000000000006</v>
      </c>
      <c r="V24" s="2">
        <v>366.10878661087867</v>
      </c>
      <c r="W24" s="2">
        <v>366.10878661087867</v>
      </c>
      <c r="X24" s="4" t="s">
        <v>25</v>
      </c>
      <c r="Y24" s="4" t="s">
        <v>20</v>
      </c>
    </row>
    <row r="25" spans="8:25" x14ac:dyDescent="0.25">
      <c r="H25" s="1">
        <v>6954</v>
      </c>
      <c r="I25" s="2">
        <v>1.19999999999999</v>
      </c>
      <c r="J25" s="1" t="s">
        <v>18</v>
      </c>
      <c r="K25" s="1" t="s">
        <v>19</v>
      </c>
      <c r="L25" s="1">
        <v>2</v>
      </c>
      <c r="M25" s="1">
        <v>5.375</v>
      </c>
      <c r="N25" s="1">
        <v>12</v>
      </c>
      <c r="O25" s="1">
        <v>7</v>
      </c>
      <c r="P25" s="1">
        <v>5</v>
      </c>
      <c r="Q25" s="3">
        <v>0.58333333333333337</v>
      </c>
      <c r="R25" s="2">
        <v>133.14285714285711</v>
      </c>
      <c r="S25" s="1">
        <v>29</v>
      </c>
      <c r="T25" s="2">
        <v>0.16666666666666666</v>
      </c>
      <c r="U25" s="2">
        <v>0.44791666666666669</v>
      </c>
      <c r="V25" s="2">
        <v>297.24916943521589</v>
      </c>
      <c r="W25" s="2">
        <v>297.24916943521589</v>
      </c>
      <c r="X25" s="4" t="s">
        <v>25</v>
      </c>
      <c r="Y25" s="4" t="s">
        <v>20</v>
      </c>
    </row>
    <row r="26" spans="8:25" x14ac:dyDescent="0.25">
      <c r="H26" s="1">
        <v>7862</v>
      </c>
      <c r="I26" s="2">
        <v>1.25</v>
      </c>
      <c r="J26" s="1" t="s">
        <v>18</v>
      </c>
      <c r="K26" s="1" t="s">
        <v>19</v>
      </c>
      <c r="L26" s="1">
        <v>5</v>
      </c>
      <c r="M26" s="1">
        <v>0.58799999999999997</v>
      </c>
      <c r="N26" s="1">
        <v>6</v>
      </c>
      <c r="O26" s="1">
        <v>5</v>
      </c>
      <c r="P26" s="1">
        <v>1</v>
      </c>
      <c r="Q26" s="3">
        <v>0.83333333333333337</v>
      </c>
      <c r="R26" s="2">
        <v>115.4</v>
      </c>
      <c r="S26" s="1">
        <v>81</v>
      </c>
      <c r="T26" s="2">
        <v>0.83333333333333337</v>
      </c>
      <c r="U26" s="2">
        <v>9.799999999999999E-2</v>
      </c>
      <c r="V26" s="2">
        <v>1177.5510204081636</v>
      </c>
      <c r="W26" s="2">
        <v>1177.5510204081636</v>
      </c>
      <c r="X26" s="4" t="s">
        <v>25</v>
      </c>
      <c r="Y26" s="4" t="s">
        <v>20</v>
      </c>
    </row>
    <row r="27" spans="8:25" x14ac:dyDescent="0.25">
      <c r="H27" s="1">
        <v>8751</v>
      </c>
      <c r="I27" s="2">
        <v>1.2432432432432401</v>
      </c>
      <c r="J27" s="1" t="s">
        <v>23</v>
      </c>
      <c r="K27" s="1" t="s">
        <v>21</v>
      </c>
      <c r="L27" s="1">
        <v>9</v>
      </c>
      <c r="M27" s="1">
        <v>3551.0729999999999</v>
      </c>
      <c r="N27" s="1">
        <v>57</v>
      </c>
      <c r="O27" s="1">
        <v>24</v>
      </c>
      <c r="P27" s="1">
        <v>33</v>
      </c>
      <c r="Q27" s="3">
        <v>0.42105263157894735</v>
      </c>
      <c r="R27" s="2">
        <v>712.20833333333337</v>
      </c>
      <c r="S27" s="1">
        <v>306</v>
      </c>
      <c r="T27" s="2">
        <v>0.15789473684210525</v>
      </c>
      <c r="U27" s="2">
        <v>62.299526315789471</v>
      </c>
      <c r="V27" s="2">
        <v>11.43200238350493</v>
      </c>
      <c r="W27" s="2">
        <v>11.43200238350493</v>
      </c>
      <c r="X27" s="4">
        <v>2</v>
      </c>
      <c r="Y27" s="4" t="s">
        <v>20</v>
      </c>
    </row>
    <row r="28" spans="8:25" x14ac:dyDescent="0.25">
      <c r="H28" s="1">
        <v>10845</v>
      </c>
      <c r="I28" s="2">
        <v>1.00143599566514</v>
      </c>
      <c r="J28" s="1" t="s">
        <v>18</v>
      </c>
      <c r="K28" s="1" t="s">
        <v>19</v>
      </c>
      <c r="L28" s="1">
        <v>2</v>
      </c>
      <c r="M28" s="1">
        <v>34.165999999999997</v>
      </c>
      <c r="N28" s="1">
        <v>36</v>
      </c>
      <c r="O28" s="1">
        <v>34</v>
      </c>
      <c r="P28" s="1">
        <v>2</v>
      </c>
      <c r="Q28" s="3">
        <v>0.94444444444444442</v>
      </c>
      <c r="R28" s="2">
        <v>278.52941176470591</v>
      </c>
      <c r="S28" s="1">
        <v>306</v>
      </c>
      <c r="T28" s="2">
        <v>5.5555555555555552E-2</v>
      </c>
      <c r="U28" s="2">
        <v>0.94905555555555543</v>
      </c>
      <c r="V28" s="2">
        <v>293.48061884708227</v>
      </c>
      <c r="W28" s="2">
        <v>293.48061884708227</v>
      </c>
      <c r="X28" s="4" t="s">
        <v>25</v>
      </c>
      <c r="Y28" s="4" t="s">
        <v>20</v>
      </c>
    </row>
    <row r="29" spans="8:25" x14ac:dyDescent="0.25">
      <c r="H29" s="1">
        <v>10927</v>
      </c>
      <c r="I29" s="2">
        <v>1.00445500359554</v>
      </c>
      <c r="J29" s="1" t="s">
        <v>23</v>
      </c>
      <c r="K29" s="1" t="s">
        <v>21</v>
      </c>
      <c r="L29" s="1">
        <v>2</v>
      </c>
      <c r="M29" s="1">
        <v>476.06700000000001</v>
      </c>
      <c r="N29" s="1">
        <v>93</v>
      </c>
      <c r="O29" s="1">
        <v>83</v>
      </c>
      <c r="P29" s="1">
        <v>10</v>
      </c>
      <c r="Q29" s="3">
        <v>0.89247311827956988</v>
      </c>
      <c r="R29" s="2">
        <v>193.6626506024096</v>
      </c>
      <c r="S29" s="1">
        <v>72</v>
      </c>
      <c r="T29" s="2">
        <v>2.1505376344086023E-2</v>
      </c>
      <c r="U29" s="2">
        <v>5.1189999999999998</v>
      </c>
      <c r="V29" s="2">
        <v>37.83212553280125</v>
      </c>
      <c r="W29" s="2">
        <v>37.83212553280125</v>
      </c>
      <c r="X29" s="4" t="s">
        <v>25</v>
      </c>
      <c r="Y29" s="4" t="s">
        <v>20</v>
      </c>
    </row>
    <row r="30" spans="8:25" x14ac:dyDescent="0.25">
      <c r="H30" s="1">
        <v>10929</v>
      </c>
      <c r="I30" s="2">
        <v>1.0576323987539</v>
      </c>
      <c r="J30" s="1" t="s">
        <v>23</v>
      </c>
      <c r="K30" s="1" t="s">
        <v>21</v>
      </c>
      <c r="L30" s="1">
        <v>14</v>
      </c>
      <c r="M30" s="1">
        <v>51.991</v>
      </c>
      <c r="N30" s="1">
        <v>97</v>
      </c>
      <c r="O30" s="1">
        <v>97</v>
      </c>
      <c r="P30" s="1">
        <v>0</v>
      </c>
      <c r="Q30" s="3">
        <v>1</v>
      </c>
      <c r="R30" s="2">
        <v>460.61855670103091</v>
      </c>
      <c r="S30" s="1">
        <v>358</v>
      </c>
      <c r="T30" s="2">
        <v>0.14432989690721648</v>
      </c>
      <c r="U30" s="2">
        <v>0.53598969072164948</v>
      </c>
      <c r="V30" s="2">
        <v>859.37950799176781</v>
      </c>
      <c r="W30" s="2">
        <v>859.37950799176781</v>
      </c>
      <c r="X30" s="4">
        <v>1</v>
      </c>
      <c r="Y30" s="4" t="s">
        <v>20</v>
      </c>
    </row>
    <row r="31" spans="8:25" x14ac:dyDescent="0.25">
      <c r="H31" s="1">
        <v>11377</v>
      </c>
      <c r="I31" s="2">
        <v>1.0574082264484701</v>
      </c>
      <c r="J31" s="1" t="s">
        <v>18</v>
      </c>
      <c r="K31" s="1" t="s">
        <v>19</v>
      </c>
      <c r="L31" s="1">
        <v>25</v>
      </c>
      <c r="M31" s="1">
        <v>0.86399999999999999</v>
      </c>
      <c r="N31" s="1">
        <v>43</v>
      </c>
      <c r="O31" s="1">
        <v>43</v>
      </c>
      <c r="P31" s="1">
        <v>0</v>
      </c>
      <c r="Q31" s="3">
        <v>1</v>
      </c>
      <c r="R31" s="2">
        <v>53.604651162790702</v>
      </c>
      <c r="S31" s="1">
        <v>37</v>
      </c>
      <c r="T31" s="2">
        <v>0.58139534883720934</v>
      </c>
      <c r="U31" s="2">
        <v>2.0093023255813955E-2</v>
      </c>
      <c r="V31" s="2">
        <v>2667.8240740740739</v>
      </c>
      <c r="W31" s="2">
        <v>2667.8240740740739</v>
      </c>
      <c r="X31" s="4" t="s">
        <v>25</v>
      </c>
      <c r="Y31" s="4" t="s">
        <v>20</v>
      </c>
    </row>
    <row r="32" spans="8:25" x14ac:dyDescent="0.25">
      <c r="H32" s="1">
        <v>13259</v>
      </c>
      <c r="I32" s="2">
        <v>1.07344935488019</v>
      </c>
      <c r="J32" s="1" t="s">
        <v>18</v>
      </c>
      <c r="K32" s="1" t="s">
        <v>19</v>
      </c>
      <c r="L32" s="1">
        <v>16</v>
      </c>
      <c r="M32" s="1">
        <v>0.16200000000000001</v>
      </c>
      <c r="N32" s="1">
        <v>63</v>
      </c>
      <c r="O32" s="1">
        <v>54</v>
      </c>
      <c r="P32" s="1">
        <v>9</v>
      </c>
      <c r="Q32" s="3">
        <v>0.8571428571428571</v>
      </c>
      <c r="R32" s="2">
        <v>5.7222222222222223</v>
      </c>
      <c r="S32" s="1">
        <v>5</v>
      </c>
      <c r="T32" s="2">
        <v>0.25396825396825395</v>
      </c>
      <c r="U32" s="2">
        <v>2.5714285714285713E-3</v>
      </c>
      <c r="V32" s="2">
        <v>2225.3086419753085</v>
      </c>
      <c r="W32" s="2">
        <v>2225.3086419753085</v>
      </c>
      <c r="X32" s="4">
        <v>1</v>
      </c>
      <c r="Y32" s="4" t="s">
        <v>20</v>
      </c>
    </row>
    <row r="33" spans="8:25" x14ac:dyDescent="0.25">
      <c r="H33" s="1">
        <v>14251</v>
      </c>
      <c r="I33" s="2">
        <v>1.0263157894736801</v>
      </c>
      <c r="J33" s="1" t="s">
        <v>23</v>
      </c>
      <c r="K33" s="1" t="s">
        <v>21</v>
      </c>
      <c r="L33" s="1">
        <v>2</v>
      </c>
      <c r="M33" s="1">
        <v>4.5170000000000003</v>
      </c>
      <c r="N33" s="1">
        <v>14</v>
      </c>
      <c r="O33" s="1">
        <v>13</v>
      </c>
      <c r="P33" s="1">
        <v>1</v>
      </c>
      <c r="Q33" s="3">
        <v>0.9285714285714286</v>
      </c>
      <c r="R33" s="2">
        <v>100.2307692307692</v>
      </c>
      <c r="S33" s="1">
        <v>47</v>
      </c>
      <c r="T33" s="2">
        <v>0.14285714285714285</v>
      </c>
      <c r="U33" s="2">
        <v>0.32264285714285718</v>
      </c>
      <c r="V33" s="2">
        <v>310.65547248854745</v>
      </c>
      <c r="W33" s="2">
        <v>310.65547248854745</v>
      </c>
      <c r="X33" s="4">
        <v>1</v>
      </c>
      <c r="Y33" s="4" t="s">
        <v>20</v>
      </c>
    </row>
    <row r="34" spans="8:25" x14ac:dyDescent="0.25">
      <c r="H34" s="1">
        <v>14331</v>
      </c>
      <c r="I34" s="2">
        <v>1.21766748311037</v>
      </c>
      <c r="J34" s="1" t="s">
        <v>23</v>
      </c>
      <c r="K34" s="1" t="s">
        <v>21</v>
      </c>
      <c r="L34" s="1">
        <v>2</v>
      </c>
      <c r="M34" s="1">
        <v>149.34100000000001</v>
      </c>
      <c r="N34" s="1">
        <v>45</v>
      </c>
      <c r="O34" s="1">
        <v>30</v>
      </c>
      <c r="P34" s="1">
        <v>15</v>
      </c>
      <c r="Q34" s="3">
        <v>0.66666666666666663</v>
      </c>
      <c r="R34" s="2">
        <v>114.8333333333333</v>
      </c>
      <c r="S34" s="1">
        <v>85.5</v>
      </c>
      <c r="T34" s="2">
        <v>4.4444444444444446E-2</v>
      </c>
      <c r="U34" s="2">
        <v>3.318688888888889</v>
      </c>
      <c r="V34" s="2">
        <v>34.602018199958472</v>
      </c>
      <c r="W34" s="2">
        <v>34.602018199958472</v>
      </c>
      <c r="X34" s="4">
        <v>2</v>
      </c>
      <c r="Y34" s="4" t="s">
        <v>20</v>
      </c>
    </row>
    <row r="35" spans="8:25" x14ac:dyDescent="0.25">
      <c r="H35" s="1">
        <v>14337</v>
      </c>
      <c r="I35" s="2">
        <v>1.4181034482758601</v>
      </c>
      <c r="J35" s="1" t="s">
        <v>23</v>
      </c>
      <c r="K35" s="1" t="s">
        <v>21</v>
      </c>
      <c r="L35" s="1">
        <v>2</v>
      </c>
      <c r="M35" s="1">
        <v>333.541</v>
      </c>
      <c r="N35" s="1">
        <v>80</v>
      </c>
      <c r="O35" s="1">
        <v>47</v>
      </c>
      <c r="P35" s="1">
        <v>33</v>
      </c>
      <c r="Q35" s="3">
        <v>0.58750000000000002</v>
      </c>
      <c r="R35" s="2">
        <v>120.21276595744681</v>
      </c>
      <c r="S35" s="1">
        <v>76</v>
      </c>
      <c r="T35" s="2">
        <v>2.5000000000000001E-2</v>
      </c>
      <c r="U35" s="2">
        <v>4.1692625000000003</v>
      </c>
      <c r="V35" s="2">
        <v>28.833100807983858</v>
      </c>
      <c r="W35" s="2">
        <v>28.833100807983858</v>
      </c>
      <c r="X35" s="4">
        <v>1</v>
      </c>
      <c r="Y35" s="4" t="s">
        <v>20</v>
      </c>
    </row>
    <row r="36" spans="8:25" x14ac:dyDescent="0.25">
      <c r="H36" s="1">
        <v>14357</v>
      </c>
      <c r="I36" s="2">
        <v>1.0012218651396201</v>
      </c>
      <c r="J36" s="1" t="s">
        <v>18</v>
      </c>
      <c r="K36" s="1" t="s">
        <v>19</v>
      </c>
      <c r="L36" s="1">
        <v>198</v>
      </c>
      <c r="M36" s="1">
        <v>85.75</v>
      </c>
      <c r="N36" s="1">
        <v>467</v>
      </c>
      <c r="O36" s="1">
        <v>337</v>
      </c>
      <c r="P36" s="1">
        <v>130</v>
      </c>
      <c r="Q36" s="3">
        <v>0.72162740899357602</v>
      </c>
      <c r="R36" s="2">
        <v>18.264094955489611</v>
      </c>
      <c r="S36" s="1">
        <v>11</v>
      </c>
      <c r="T36" s="2">
        <v>0.42398286937901497</v>
      </c>
      <c r="U36" s="2">
        <v>0.18361884368308351</v>
      </c>
      <c r="V36" s="2">
        <v>99.467432585581903</v>
      </c>
      <c r="W36" s="2">
        <v>99.467432585581903</v>
      </c>
      <c r="X36" s="4" t="s">
        <v>25</v>
      </c>
      <c r="Y36" s="4" t="s">
        <v>20</v>
      </c>
    </row>
    <row r="37" spans="8:25" x14ac:dyDescent="0.25">
      <c r="H37" s="1">
        <v>14681</v>
      </c>
      <c r="I37" s="2">
        <v>1.0181818181818101</v>
      </c>
      <c r="J37" s="1" t="s">
        <v>23</v>
      </c>
      <c r="K37" s="1" t="s">
        <v>21</v>
      </c>
      <c r="L37" s="1">
        <v>2</v>
      </c>
      <c r="M37" s="1">
        <v>150.52000000000001</v>
      </c>
      <c r="N37" s="1">
        <v>44</v>
      </c>
      <c r="O37" s="1">
        <v>8</v>
      </c>
      <c r="P37" s="1">
        <v>36</v>
      </c>
      <c r="Q37" s="3">
        <v>0.18181818181818182</v>
      </c>
      <c r="R37" s="2">
        <v>56.875</v>
      </c>
      <c r="S37" s="1">
        <v>27</v>
      </c>
      <c r="T37" s="2">
        <v>4.5454545454545456E-2</v>
      </c>
      <c r="U37" s="2">
        <v>3.4209090909090913</v>
      </c>
      <c r="V37" s="2">
        <v>16.625697581716715</v>
      </c>
      <c r="W37" s="2">
        <v>16.625697581716715</v>
      </c>
      <c r="X37" s="4" t="s">
        <v>25</v>
      </c>
      <c r="Y37" s="4" t="s">
        <v>20</v>
      </c>
    </row>
    <row r="38" spans="8:25" x14ac:dyDescent="0.25">
      <c r="H38" s="1">
        <v>14737</v>
      </c>
      <c r="I38" s="2">
        <v>1.2475915221579901</v>
      </c>
      <c r="J38" s="1" t="s">
        <v>23</v>
      </c>
      <c r="K38" s="1" t="s">
        <v>21</v>
      </c>
      <c r="L38" s="5">
        <v>17</v>
      </c>
      <c r="M38" s="5">
        <v>3.4235817725619602</v>
      </c>
      <c r="N38" s="1">
        <v>185</v>
      </c>
      <c r="O38" s="1">
        <v>71</v>
      </c>
      <c r="P38" s="1">
        <v>114</v>
      </c>
      <c r="Q38" s="3">
        <v>0.38378378378378381</v>
      </c>
      <c r="R38" s="2">
        <v>20.7887323943662</v>
      </c>
      <c r="S38" s="1">
        <v>10</v>
      </c>
      <c r="T38" s="2">
        <f>L38/N38</f>
        <v>9.1891891891891897E-2</v>
      </c>
      <c r="U38" s="2">
        <f>M38/N38</f>
        <v>1.8505847419253839E-2</v>
      </c>
      <c r="V38" s="2">
        <f>R38*N38/M38</f>
        <v>1123.360196558046</v>
      </c>
      <c r="W38" s="2">
        <f>V38</f>
        <v>1123.360196558046</v>
      </c>
      <c r="X38" s="4">
        <v>2</v>
      </c>
      <c r="Y38" s="4" t="s">
        <v>20</v>
      </c>
    </row>
    <row r="39" spans="8:25" x14ac:dyDescent="0.25">
      <c r="H39" s="1">
        <v>15859</v>
      </c>
      <c r="I39" s="2">
        <v>1.1107994389901801</v>
      </c>
      <c r="J39" s="1" t="s">
        <v>23</v>
      </c>
      <c r="K39" s="1" t="s">
        <v>21</v>
      </c>
      <c r="L39" s="1">
        <v>3</v>
      </c>
      <c r="M39" s="1">
        <v>3.5000000000000003E-2</v>
      </c>
      <c r="N39" s="1">
        <v>40</v>
      </c>
      <c r="O39" s="1">
        <v>33</v>
      </c>
      <c r="P39" s="1">
        <v>7</v>
      </c>
      <c r="Q39" s="3">
        <v>0.82499999999999996</v>
      </c>
      <c r="R39" s="2">
        <v>3.939393939393939</v>
      </c>
      <c r="S39" s="1">
        <v>4</v>
      </c>
      <c r="T39" s="2">
        <v>7.4999999999999997E-2</v>
      </c>
      <c r="U39" s="2">
        <v>8.7500000000000013E-4</v>
      </c>
      <c r="V39" s="2">
        <v>4502.1645021645018</v>
      </c>
      <c r="W39" s="2">
        <v>4502.1645021645018</v>
      </c>
      <c r="X39" s="4">
        <v>2</v>
      </c>
      <c r="Y39" s="4" t="s">
        <v>20</v>
      </c>
    </row>
    <row r="40" spans="8:25" x14ac:dyDescent="0.25">
      <c r="H40" s="1">
        <v>16204</v>
      </c>
      <c r="I40" s="2">
        <v>1.30645161290322</v>
      </c>
      <c r="J40" s="1" t="s">
        <v>23</v>
      </c>
      <c r="K40" s="1" t="s">
        <v>21</v>
      </c>
      <c r="L40" s="1">
        <v>20</v>
      </c>
      <c r="M40" s="1">
        <v>98.076999999999998</v>
      </c>
      <c r="N40" s="1">
        <v>50</v>
      </c>
      <c r="O40" s="1">
        <v>8</v>
      </c>
      <c r="P40" s="1">
        <v>42</v>
      </c>
      <c r="Q40" s="3">
        <v>0.16</v>
      </c>
      <c r="R40" s="2">
        <v>143</v>
      </c>
      <c r="S40" s="1">
        <v>25.5</v>
      </c>
      <c r="T40" s="2">
        <v>0.4</v>
      </c>
      <c r="U40" s="2">
        <v>1.9615400000000001</v>
      </c>
      <c r="V40" s="2">
        <v>72.901903606350118</v>
      </c>
      <c r="W40" s="2">
        <v>72.901903606350118</v>
      </c>
      <c r="X40" s="4" t="s">
        <v>25</v>
      </c>
      <c r="Y40" s="4" t="s">
        <v>20</v>
      </c>
    </row>
    <row r="41" spans="8:25" x14ac:dyDescent="0.25">
      <c r="H41" s="1">
        <v>3629</v>
      </c>
      <c r="I41" s="2">
        <v>1.49749571562134</v>
      </c>
      <c r="J41" s="1" t="s">
        <v>18</v>
      </c>
      <c r="K41" s="1" t="s">
        <v>21</v>
      </c>
      <c r="L41" s="1">
        <v>112</v>
      </c>
      <c r="M41" s="1">
        <v>154.50700000000001</v>
      </c>
      <c r="N41" s="1">
        <v>144</v>
      </c>
      <c r="O41" s="1">
        <v>116</v>
      </c>
      <c r="P41" s="1">
        <v>28</v>
      </c>
      <c r="Q41" s="3">
        <v>0.80555555555555558</v>
      </c>
      <c r="R41" s="2">
        <v>97.112068965517238</v>
      </c>
      <c r="S41" s="1">
        <v>28.5</v>
      </c>
      <c r="T41" s="2">
        <v>0.77777777777777779</v>
      </c>
      <c r="U41" s="2">
        <v>1.0729652777777778</v>
      </c>
      <c r="V41" s="2">
        <v>90.508118926873749</v>
      </c>
      <c r="W41" s="2">
        <v>90.508118926873749</v>
      </c>
      <c r="X41" s="4">
        <v>1</v>
      </c>
      <c r="Y41" s="4" t="s">
        <v>22</v>
      </c>
    </row>
    <row r="42" spans="8:25" x14ac:dyDescent="0.25">
      <c r="H42" s="1">
        <v>3652</v>
      </c>
      <c r="I42" s="2">
        <v>1.0874739454815101</v>
      </c>
      <c r="J42" s="1" t="s">
        <v>23</v>
      </c>
      <c r="K42" s="1" t="s">
        <v>24</v>
      </c>
      <c r="L42" s="1">
        <v>223</v>
      </c>
      <c r="M42" s="1">
        <v>48.636000000000003</v>
      </c>
      <c r="N42" s="1">
        <v>618</v>
      </c>
      <c r="O42" s="1">
        <v>527</v>
      </c>
      <c r="P42" s="1">
        <v>91</v>
      </c>
      <c r="Q42" s="3">
        <v>0.8527508090614887</v>
      </c>
      <c r="R42" s="2">
        <v>33.734345351043643</v>
      </c>
      <c r="S42" s="1">
        <v>24</v>
      </c>
      <c r="T42" s="2">
        <v>0.36084142394822005</v>
      </c>
      <c r="U42" s="2">
        <v>7.8699029126213599E-2</v>
      </c>
      <c r="V42" s="2">
        <v>428.65008279761844</v>
      </c>
      <c r="W42" s="2">
        <v>428.65008279761844</v>
      </c>
      <c r="X42" s="4" t="s">
        <v>25</v>
      </c>
      <c r="Y42" s="4" t="s">
        <v>22</v>
      </c>
    </row>
    <row r="43" spans="8:25" x14ac:dyDescent="0.25">
      <c r="H43" s="1">
        <v>4524</v>
      </c>
      <c r="I43" s="2">
        <v>1.35702746365105</v>
      </c>
      <c r="J43" s="1" t="s">
        <v>18</v>
      </c>
      <c r="K43" s="1" t="s">
        <v>27</v>
      </c>
      <c r="L43" s="1">
        <v>62</v>
      </c>
      <c r="M43" s="1">
        <v>9.9559999999999995</v>
      </c>
      <c r="N43" s="1">
        <v>183</v>
      </c>
      <c r="O43" s="1">
        <v>168</v>
      </c>
      <c r="P43" s="1">
        <v>15</v>
      </c>
      <c r="Q43" s="3">
        <v>0.91803278688524592</v>
      </c>
      <c r="R43" s="2">
        <v>91.351190476190482</v>
      </c>
      <c r="S43" s="1">
        <v>70.5</v>
      </c>
      <c r="T43" s="2">
        <v>0.33879781420765026</v>
      </c>
      <c r="U43" s="2">
        <v>5.4404371584699449E-2</v>
      </c>
      <c r="V43" s="2">
        <v>1679.1148912357232</v>
      </c>
      <c r="W43" s="2">
        <v>1679.1148912357232</v>
      </c>
      <c r="X43" s="4">
        <v>1</v>
      </c>
      <c r="Y43" s="4" t="s">
        <v>22</v>
      </c>
    </row>
    <row r="44" spans="8:25" x14ac:dyDescent="0.25">
      <c r="H44" s="1">
        <v>5763</v>
      </c>
      <c r="I44" s="2">
        <v>1.0986141263182201</v>
      </c>
      <c r="J44" s="1" t="s">
        <v>18</v>
      </c>
      <c r="K44" s="1" t="s">
        <v>21</v>
      </c>
      <c r="L44" s="1">
        <v>123</v>
      </c>
      <c r="M44" s="1">
        <v>25.678000000000001</v>
      </c>
      <c r="N44" s="1">
        <v>392</v>
      </c>
      <c r="O44" s="1">
        <v>370</v>
      </c>
      <c r="P44" s="1">
        <v>22</v>
      </c>
      <c r="Q44" s="3">
        <v>0.94387755102040816</v>
      </c>
      <c r="R44" s="2">
        <v>25.405405405405411</v>
      </c>
      <c r="S44" s="1">
        <v>22</v>
      </c>
      <c r="T44" s="2">
        <v>0.31377551020408162</v>
      </c>
      <c r="U44" s="2">
        <v>6.5505102040816332E-2</v>
      </c>
      <c r="V44" s="2">
        <v>387.83857461324556</v>
      </c>
      <c r="W44" s="2">
        <v>387.83857461324556</v>
      </c>
      <c r="X44" s="4">
        <v>1</v>
      </c>
      <c r="Y44" s="4" t="s">
        <v>22</v>
      </c>
    </row>
    <row r="45" spans="8:25" x14ac:dyDescent="0.25">
      <c r="H45" s="1">
        <v>6211</v>
      </c>
      <c r="I45" s="2">
        <v>1.10148514851485</v>
      </c>
      <c r="J45" s="1" t="s">
        <v>18</v>
      </c>
      <c r="K45" s="1" t="s">
        <v>19</v>
      </c>
      <c r="L45" s="1">
        <v>81</v>
      </c>
      <c r="M45" s="1">
        <v>91.507000000000005</v>
      </c>
      <c r="N45" s="1">
        <v>374</v>
      </c>
      <c r="O45" s="1">
        <v>89</v>
      </c>
      <c r="P45" s="1">
        <v>285</v>
      </c>
      <c r="Q45" s="3">
        <v>0.23796791443850268</v>
      </c>
      <c r="R45" s="2">
        <v>14.79775280898876</v>
      </c>
      <c r="S45" s="1">
        <v>7</v>
      </c>
      <c r="T45" s="2">
        <v>0.21657754010695188</v>
      </c>
      <c r="U45" s="2">
        <v>0.24467112299465241</v>
      </c>
      <c r="V45" s="2">
        <v>60.480176932494736</v>
      </c>
      <c r="W45" s="2">
        <v>60.480176932494736</v>
      </c>
      <c r="X45" s="4">
        <v>1</v>
      </c>
      <c r="Y45" s="4" t="s">
        <v>22</v>
      </c>
    </row>
    <row r="46" spans="8:25" x14ac:dyDescent="0.25">
      <c r="H46" s="1">
        <v>8262</v>
      </c>
      <c r="I46" s="2">
        <v>1.1640070921985699</v>
      </c>
      <c r="J46" s="1" t="s">
        <v>18</v>
      </c>
      <c r="K46" s="1" t="s">
        <v>19</v>
      </c>
      <c r="L46" s="1">
        <v>253</v>
      </c>
      <c r="M46" s="1">
        <v>364.18400000000003</v>
      </c>
      <c r="N46" s="1">
        <v>351</v>
      </c>
      <c r="O46" s="1">
        <v>202</v>
      </c>
      <c r="P46" s="1">
        <v>149</v>
      </c>
      <c r="Q46" s="3">
        <v>0.57549857549857553</v>
      </c>
      <c r="R46" s="2">
        <v>60.698019801980188</v>
      </c>
      <c r="S46" s="1">
        <v>21</v>
      </c>
      <c r="T46" s="2">
        <v>0.72079772079772075</v>
      </c>
      <c r="U46" s="2">
        <v>1.0375612535612537</v>
      </c>
      <c r="V46" s="2">
        <v>58.500661617465475</v>
      </c>
      <c r="W46" s="2">
        <v>58.500661617465475</v>
      </c>
      <c r="X46" s="4">
        <v>1</v>
      </c>
      <c r="Y46" s="4" t="s">
        <v>22</v>
      </c>
    </row>
    <row r="47" spans="8:25" x14ac:dyDescent="0.25">
      <c r="H47" s="1">
        <v>8282</v>
      </c>
      <c r="I47" s="2">
        <v>1.05141065830721</v>
      </c>
      <c r="J47" s="1" t="s">
        <v>18</v>
      </c>
      <c r="K47" s="1" t="s">
        <v>19</v>
      </c>
      <c r="L47" s="1">
        <v>54</v>
      </c>
      <c r="M47" s="1">
        <v>43.622</v>
      </c>
      <c r="N47" s="1">
        <v>122</v>
      </c>
      <c r="O47" s="1">
        <v>86</v>
      </c>
      <c r="P47" s="1">
        <v>36</v>
      </c>
      <c r="Q47" s="3">
        <v>0.70491803278688525</v>
      </c>
      <c r="R47" s="2">
        <v>39.52325581395349</v>
      </c>
      <c r="S47" s="1">
        <v>18</v>
      </c>
      <c r="T47" s="2">
        <v>0.44262295081967212</v>
      </c>
      <c r="U47" s="2">
        <v>0.35755737704918034</v>
      </c>
      <c r="V47" s="2">
        <v>110.5368210834516</v>
      </c>
      <c r="W47" s="2">
        <v>110.5368210834516</v>
      </c>
      <c r="X47" s="4">
        <v>2</v>
      </c>
      <c r="Y47" s="4" t="s">
        <v>22</v>
      </c>
    </row>
    <row r="48" spans="8:25" x14ac:dyDescent="0.25">
      <c r="H48" s="1">
        <v>8397</v>
      </c>
      <c r="I48" s="2">
        <v>1.24824415783425</v>
      </c>
      <c r="J48" s="1" t="s">
        <v>18</v>
      </c>
      <c r="K48" s="1" t="s">
        <v>19</v>
      </c>
      <c r="L48" s="1">
        <v>53</v>
      </c>
      <c r="M48" s="1">
        <v>137.69399999999999</v>
      </c>
      <c r="N48" s="1">
        <v>135</v>
      </c>
      <c r="O48" s="1">
        <v>51</v>
      </c>
      <c r="P48" s="1">
        <v>84</v>
      </c>
      <c r="Q48" s="3">
        <v>0.37777777777777777</v>
      </c>
      <c r="R48" s="2">
        <v>46.862745098039213</v>
      </c>
      <c r="S48" s="1">
        <v>7</v>
      </c>
      <c r="T48" s="2">
        <v>0.3925925925925926</v>
      </c>
      <c r="U48" s="2">
        <v>1.0199555555555555</v>
      </c>
      <c r="V48" s="2">
        <v>45.945869741857265</v>
      </c>
      <c r="W48" s="2">
        <v>45.945869741857265</v>
      </c>
      <c r="X48" s="4">
        <v>2</v>
      </c>
      <c r="Y48" s="4" t="s">
        <v>22</v>
      </c>
    </row>
    <row r="49" spans="8:25" x14ac:dyDescent="0.25">
      <c r="H49" s="1">
        <v>8401</v>
      </c>
      <c r="I49" s="2">
        <v>1.1946021509064999</v>
      </c>
      <c r="J49" s="1" t="s">
        <v>18</v>
      </c>
      <c r="K49" s="1" t="s">
        <v>19</v>
      </c>
      <c r="L49" s="1">
        <v>144</v>
      </c>
      <c r="M49" s="1">
        <v>303.375</v>
      </c>
      <c r="N49" s="1">
        <v>267</v>
      </c>
      <c r="O49" s="1">
        <v>135</v>
      </c>
      <c r="P49" s="1">
        <v>132</v>
      </c>
      <c r="Q49" s="3">
        <v>0.5056179775280899</v>
      </c>
      <c r="R49" s="2">
        <v>22.718518518518518</v>
      </c>
      <c r="S49" s="1">
        <v>8</v>
      </c>
      <c r="T49" s="2">
        <v>0.5393258426966292</v>
      </c>
      <c r="U49" s="2">
        <v>1.1362359550561798</v>
      </c>
      <c r="V49" s="2">
        <v>19.994542874147321</v>
      </c>
      <c r="W49" s="2">
        <v>19.994542874147321</v>
      </c>
      <c r="X49" s="4">
        <v>2</v>
      </c>
      <c r="Y49" s="4" t="s">
        <v>22</v>
      </c>
    </row>
    <row r="50" spans="8:25" x14ac:dyDescent="0.25">
      <c r="H50" s="1">
        <v>8467</v>
      </c>
      <c r="I50" s="2">
        <v>1.3441265060240899</v>
      </c>
      <c r="J50" s="1" t="s">
        <v>18</v>
      </c>
      <c r="K50" s="1" t="s">
        <v>19</v>
      </c>
      <c r="L50" s="1">
        <v>119</v>
      </c>
      <c r="M50" s="1">
        <v>31.172999999999998</v>
      </c>
      <c r="N50" s="1">
        <v>55</v>
      </c>
      <c r="O50" s="1">
        <v>35</v>
      </c>
      <c r="P50" s="1">
        <v>20</v>
      </c>
      <c r="Q50" s="3">
        <v>0.63636363636363635</v>
      </c>
      <c r="R50" s="2">
        <v>84.51428571428572</v>
      </c>
      <c r="S50" s="1">
        <v>43</v>
      </c>
      <c r="T50" s="2">
        <v>2.1636363636363636</v>
      </c>
      <c r="U50" s="2">
        <v>0.56678181818181816</v>
      </c>
      <c r="V50" s="2">
        <v>149.11255619560885</v>
      </c>
      <c r="W50" s="2">
        <v>149.11255619560885</v>
      </c>
      <c r="X50" s="4">
        <v>2</v>
      </c>
      <c r="Y50" s="4" t="s">
        <v>22</v>
      </c>
    </row>
    <row r="51" spans="8:25" x14ac:dyDescent="0.25">
      <c r="H51" s="1">
        <v>9910</v>
      </c>
      <c r="I51" s="2">
        <v>1.14231499051233</v>
      </c>
      <c r="J51" s="1" t="s">
        <v>18</v>
      </c>
      <c r="K51" s="1" t="s">
        <v>24</v>
      </c>
      <c r="L51" s="1">
        <v>132</v>
      </c>
      <c r="M51" s="1">
        <v>332.98099999999999</v>
      </c>
      <c r="N51" s="1">
        <v>321</v>
      </c>
      <c r="O51" s="1">
        <v>301</v>
      </c>
      <c r="P51" s="1">
        <v>20</v>
      </c>
      <c r="Q51" s="3">
        <v>0.93769470404984423</v>
      </c>
      <c r="R51" s="2">
        <v>76.239202657807311</v>
      </c>
      <c r="S51" s="1">
        <v>40</v>
      </c>
      <c r="T51" s="2">
        <v>0.41121495327102803</v>
      </c>
      <c r="U51" s="2">
        <v>1.0373239875389408</v>
      </c>
      <c r="V51" s="2">
        <v>73.496037471075368</v>
      </c>
      <c r="W51" s="2">
        <v>73.496037471075368</v>
      </c>
      <c r="X51" s="4">
        <v>1</v>
      </c>
      <c r="Y51" s="4" t="s">
        <v>22</v>
      </c>
    </row>
    <row r="52" spans="8:25" x14ac:dyDescent="0.25">
      <c r="H52" s="1">
        <v>10397</v>
      </c>
      <c r="I52" s="2">
        <v>1.15178571428571</v>
      </c>
      <c r="J52" s="1" t="s">
        <v>18</v>
      </c>
      <c r="K52" s="1" t="s">
        <v>19</v>
      </c>
      <c r="L52" s="1">
        <v>2</v>
      </c>
      <c r="M52" s="1">
        <v>109.71</v>
      </c>
      <c r="N52" s="1">
        <v>97</v>
      </c>
      <c r="O52" s="1">
        <v>86</v>
      </c>
      <c r="P52" s="1">
        <v>11</v>
      </c>
      <c r="Q52" s="3">
        <v>0.88659793814432986</v>
      </c>
      <c r="R52" s="2">
        <v>163.5</v>
      </c>
      <c r="S52" s="1">
        <v>130.5</v>
      </c>
      <c r="T52" s="2">
        <v>2.0618556701030927E-2</v>
      </c>
      <c r="U52" s="2">
        <v>1.1310309278350514</v>
      </c>
      <c r="V52" s="2">
        <v>144.5583811867651</v>
      </c>
      <c r="W52" s="2">
        <v>144.5583811867651</v>
      </c>
      <c r="X52" s="4">
        <v>1</v>
      </c>
      <c r="Y52" s="4" t="s">
        <v>22</v>
      </c>
    </row>
    <row r="53" spans="8:25" x14ac:dyDescent="0.25">
      <c r="H53" s="1">
        <v>10702</v>
      </c>
      <c r="I53" s="2">
        <v>1.3889561807036099</v>
      </c>
      <c r="J53" s="1" t="s">
        <v>18</v>
      </c>
      <c r="K53" s="1" t="s">
        <v>21</v>
      </c>
      <c r="L53" s="1">
        <v>9</v>
      </c>
      <c r="M53" s="1">
        <v>2217.0030000000002</v>
      </c>
      <c r="N53" s="1">
        <v>480</v>
      </c>
      <c r="O53" s="1">
        <v>250</v>
      </c>
      <c r="P53" s="1">
        <v>230</v>
      </c>
      <c r="Q53" s="3">
        <v>0.52083333333333337</v>
      </c>
      <c r="R53" s="2">
        <v>165.29599999999999</v>
      </c>
      <c r="S53" s="1">
        <v>92.5</v>
      </c>
      <c r="T53" s="2">
        <v>1.8749999999999999E-2</v>
      </c>
      <c r="U53" s="2">
        <v>4.6187562500000006</v>
      </c>
      <c r="V53" s="2">
        <v>35.787989461448632</v>
      </c>
      <c r="W53" s="2">
        <v>35.787989461448632</v>
      </c>
      <c r="X53" s="4">
        <v>1</v>
      </c>
      <c r="Y53" s="4" t="s">
        <v>22</v>
      </c>
    </row>
    <row r="54" spans="8:25" x14ac:dyDescent="0.25">
      <c r="H54" s="1">
        <v>10870</v>
      </c>
      <c r="I54" s="2">
        <v>1.22545802258367</v>
      </c>
      <c r="J54" s="1" t="s">
        <v>23</v>
      </c>
      <c r="K54" s="1" t="s">
        <v>19</v>
      </c>
      <c r="L54" s="1">
        <v>157</v>
      </c>
      <c r="M54" s="1">
        <v>1138.912</v>
      </c>
      <c r="N54" s="1">
        <v>249</v>
      </c>
      <c r="O54" s="1">
        <v>130</v>
      </c>
      <c r="P54" s="1">
        <v>119</v>
      </c>
      <c r="Q54" s="3">
        <v>0.52208835341365467</v>
      </c>
      <c r="R54" s="2">
        <v>80.807692307692307</v>
      </c>
      <c r="S54" s="1">
        <v>21.5</v>
      </c>
      <c r="T54" s="2">
        <v>0.63052208835341361</v>
      </c>
      <c r="U54" s="2">
        <v>4.5739437751004015</v>
      </c>
      <c r="V54" s="2">
        <v>17.666962315451396</v>
      </c>
      <c r="W54" s="2">
        <v>17.666962315451396</v>
      </c>
      <c r="X54" s="4" t="s">
        <v>25</v>
      </c>
      <c r="Y54" s="4" t="s">
        <v>22</v>
      </c>
    </row>
    <row r="55" spans="8:25" x14ac:dyDescent="0.25">
      <c r="H55" s="1">
        <v>11767</v>
      </c>
      <c r="I55" s="2">
        <v>1.13085654872439</v>
      </c>
      <c r="J55" s="1" t="s">
        <v>18</v>
      </c>
      <c r="K55" s="1" t="s">
        <v>19</v>
      </c>
      <c r="L55" s="1">
        <v>98</v>
      </c>
      <c r="M55" s="1">
        <v>5.2569999999999997</v>
      </c>
      <c r="N55" s="1">
        <v>389</v>
      </c>
      <c r="O55" s="1">
        <v>344</v>
      </c>
      <c r="P55" s="1">
        <v>45</v>
      </c>
      <c r="Q55" s="3">
        <v>0.88431876606683801</v>
      </c>
      <c r="R55" s="2">
        <v>11.982558139534881</v>
      </c>
      <c r="S55" s="1">
        <v>9</v>
      </c>
      <c r="T55" s="2">
        <v>0.25192802056555269</v>
      </c>
      <c r="U55" s="2">
        <v>1.3514138817480719E-2</v>
      </c>
      <c r="V55" s="2">
        <v>886.66827397357224</v>
      </c>
      <c r="W55" s="2">
        <v>886.66827397357224</v>
      </c>
      <c r="X55" s="4" t="s">
        <v>25</v>
      </c>
      <c r="Y55" s="4" t="s">
        <v>22</v>
      </c>
    </row>
    <row r="56" spans="8:25" x14ac:dyDescent="0.25">
      <c r="H56" s="1">
        <v>11809</v>
      </c>
      <c r="I56" s="2">
        <v>1.03315422099108</v>
      </c>
      <c r="J56" s="1" t="s">
        <v>18</v>
      </c>
      <c r="K56" s="1" t="s">
        <v>19</v>
      </c>
      <c r="L56" s="1">
        <v>60</v>
      </c>
      <c r="M56" s="1">
        <v>4.1360000000000001</v>
      </c>
      <c r="N56" s="1">
        <v>337</v>
      </c>
      <c r="O56" s="1">
        <v>300</v>
      </c>
      <c r="P56" s="1">
        <v>37</v>
      </c>
      <c r="Q56" s="3">
        <v>0.89020771513353114</v>
      </c>
      <c r="R56" s="2">
        <v>10.75</v>
      </c>
      <c r="S56" s="1">
        <v>9</v>
      </c>
      <c r="T56" s="2">
        <v>0.17804154302670624</v>
      </c>
      <c r="U56" s="2">
        <v>1.227299703264095E-2</v>
      </c>
      <c r="V56" s="2">
        <v>875.90667311411994</v>
      </c>
      <c r="W56" s="2">
        <v>875.90667311411994</v>
      </c>
      <c r="X56" s="4" t="s">
        <v>25</v>
      </c>
      <c r="Y56" s="4" t="s">
        <v>22</v>
      </c>
    </row>
    <row r="57" spans="8:25" x14ac:dyDescent="0.25">
      <c r="H57" s="1">
        <v>11812</v>
      </c>
      <c r="I57" s="2">
        <v>1.10391297631634</v>
      </c>
      <c r="J57" s="1" t="s">
        <v>18</v>
      </c>
      <c r="K57" s="1" t="s">
        <v>19</v>
      </c>
      <c r="L57" s="1">
        <v>156</v>
      </c>
      <c r="M57" s="1">
        <v>5.1769999999999996</v>
      </c>
      <c r="N57" s="1">
        <v>427</v>
      </c>
      <c r="O57" s="1">
        <v>390</v>
      </c>
      <c r="P57" s="1">
        <v>37</v>
      </c>
      <c r="Q57" s="3">
        <v>0.9133489461358314</v>
      </c>
      <c r="R57" s="2">
        <v>9.8282051282051288</v>
      </c>
      <c r="S57" s="1">
        <v>7</v>
      </c>
      <c r="T57" s="2">
        <v>0.36533957845433257</v>
      </c>
      <c r="U57" s="2">
        <v>1.2124121779859484E-2</v>
      </c>
      <c r="V57" s="2">
        <v>810.63233334819211</v>
      </c>
      <c r="W57" s="2">
        <v>810.63233334819211</v>
      </c>
      <c r="X57" s="4" t="s">
        <v>25</v>
      </c>
      <c r="Y57" s="4" t="s">
        <v>22</v>
      </c>
    </row>
    <row r="58" spans="8:25" x14ac:dyDescent="0.25">
      <c r="H58" s="1">
        <v>11863</v>
      </c>
      <c r="I58" s="2">
        <v>1.18472274144545</v>
      </c>
      <c r="J58" s="1" t="s">
        <v>18</v>
      </c>
      <c r="K58" s="1" t="s">
        <v>19</v>
      </c>
      <c r="L58" s="1">
        <v>28</v>
      </c>
      <c r="M58" s="1">
        <v>3.8959999999999999</v>
      </c>
      <c r="N58" s="1">
        <v>325</v>
      </c>
      <c r="O58" s="1">
        <v>297</v>
      </c>
      <c r="P58" s="1">
        <v>28</v>
      </c>
      <c r="Q58" s="3">
        <v>0.91384615384615386</v>
      </c>
      <c r="R58" s="2">
        <v>14.932659932659931</v>
      </c>
      <c r="S58" s="1">
        <v>12</v>
      </c>
      <c r="T58" s="2">
        <v>8.615384615384615E-2</v>
      </c>
      <c r="U58" s="2">
        <v>1.1987692307692307E-2</v>
      </c>
      <c r="V58" s="2">
        <v>1245.6659338076174</v>
      </c>
      <c r="W58" s="2">
        <v>1245.6659338076174</v>
      </c>
      <c r="X58" s="4" t="s">
        <v>25</v>
      </c>
      <c r="Y58" s="4" t="s">
        <v>22</v>
      </c>
    </row>
    <row r="59" spans="8:25" x14ac:dyDescent="0.25">
      <c r="H59" s="1">
        <v>13702</v>
      </c>
      <c r="I59" s="2">
        <v>1.05754076136872</v>
      </c>
      <c r="J59" s="1" t="s">
        <v>18</v>
      </c>
      <c r="K59" s="1" t="s">
        <v>19</v>
      </c>
      <c r="L59" s="1">
        <v>12</v>
      </c>
      <c r="M59" s="1">
        <v>18.015000000000001</v>
      </c>
      <c r="N59" s="1">
        <v>167</v>
      </c>
      <c r="O59" s="1">
        <v>159</v>
      </c>
      <c r="P59" s="1">
        <v>8</v>
      </c>
      <c r="Q59" s="3">
        <v>0.95209580838323349</v>
      </c>
      <c r="R59" s="2">
        <v>149.9245283018868</v>
      </c>
      <c r="S59" s="1">
        <v>86</v>
      </c>
      <c r="T59" s="2">
        <v>7.1856287425149698E-2</v>
      </c>
      <c r="U59" s="2">
        <v>0.107874251497006</v>
      </c>
      <c r="V59" s="2">
        <v>1389.8082834535162</v>
      </c>
      <c r="W59" s="2">
        <v>1389.8082834535162</v>
      </c>
      <c r="X59" s="4">
        <v>2</v>
      </c>
      <c r="Y59" s="4" t="s">
        <v>22</v>
      </c>
    </row>
    <row r="60" spans="8:25" x14ac:dyDescent="0.25">
      <c r="H60" s="1">
        <v>14105</v>
      </c>
      <c r="I60" s="2">
        <v>1.0321988320991</v>
      </c>
      <c r="J60" s="1" t="s">
        <v>23</v>
      </c>
      <c r="K60" s="1" t="s">
        <v>24</v>
      </c>
      <c r="L60" s="1">
        <v>18</v>
      </c>
      <c r="M60" s="1">
        <v>27.585999999999999</v>
      </c>
      <c r="N60" s="1">
        <v>94</v>
      </c>
      <c r="O60" s="1">
        <v>74</v>
      </c>
      <c r="P60" s="1">
        <v>20</v>
      </c>
      <c r="Q60" s="3">
        <v>0.78723404255319152</v>
      </c>
      <c r="R60" s="2">
        <v>15.52702702702703</v>
      </c>
      <c r="S60" s="1">
        <v>9.5</v>
      </c>
      <c r="T60" s="2">
        <v>0.19148936170212766</v>
      </c>
      <c r="U60" s="2">
        <v>0.29346808510638295</v>
      </c>
      <c r="V60" s="2">
        <v>52.908741410155187</v>
      </c>
      <c r="W60" s="2">
        <v>52.908741410155187</v>
      </c>
      <c r="X60" s="4">
        <v>2</v>
      </c>
      <c r="Y60" s="4" t="s">
        <v>22</v>
      </c>
    </row>
    <row r="61" spans="8:25" x14ac:dyDescent="0.25">
      <c r="H61" s="1">
        <v>14115</v>
      </c>
      <c r="I61" s="2">
        <v>1.21735154385469</v>
      </c>
      <c r="J61" s="1" t="s">
        <v>18</v>
      </c>
      <c r="K61" s="1" t="s">
        <v>19</v>
      </c>
      <c r="L61" s="1">
        <v>34</v>
      </c>
      <c r="M61" s="1">
        <v>0.441</v>
      </c>
      <c r="N61" s="1">
        <v>147</v>
      </c>
      <c r="O61" s="1">
        <v>66</v>
      </c>
      <c r="P61" s="1">
        <v>81</v>
      </c>
      <c r="Q61" s="3">
        <v>0.44897959183673469</v>
      </c>
      <c r="R61" s="2">
        <v>2.166666666666667</v>
      </c>
      <c r="S61" s="1">
        <v>1</v>
      </c>
      <c r="T61" s="2">
        <v>0.23129251700680273</v>
      </c>
      <c r="U61" s="2">
        <v>3.0000000000000001E-3</v>
      </c>
      <c r="V61" s="2">
        <v>722.2222222222224</v>
      </c>
      <c r="W61" s="2">
        <v>722.2222222222224</v>
      </c>
      <c r="X61" s="4" t="s">
        <v>25</v>
      </c>
      <c r="Y61" s="4" t="s">
        <v>22</v>
      </c>
    </row>
    <row r="62" spans="8:25" x14ac:dyDescent="0.25">
      <c r="H62" s="1">
        <v>14509</v>
      </c>
      <c r="I62" s="2">
        <v>1.14254686863643</v>
      </c>
      <c r="J62" s="1" t="s">
        <v>18</v>
      </c>
      <c r="K62" s="1" t="s">
        <v>21</v>
      </c>
      <c r="L62" s="1">
        <v>59</v>
      </c>
      <c r="M62" s="1">
        <v>62.17</v>
      </c>
      <c r="N62" s="1">
        <v>785</v>
      </c>
      <c r="O62" s="1">
        <v>357</v>
      </c>
      <c r="P62" s="1">
        <v>428</v>
      </c>
      <c r="Q62" s="3">
        <v>0.45477707006369428</v>
      </c>
      <c r="R62" s="2">
        <v>12.95518207282913</v>
      </c>
      <c r="S62" s="1">
        <v>9</v>
      </c>
      <c r="T62" s="2">
        <v>7.5159235668789806E-2</v>
      </c>
      <c r="U62" s="2">
        <v>7.9197452229299359E-2</v>
      </c>
      <c r="V62" s="2">
        <v>163.58079342401265</v>
      </c>
      <c r="W62" s="2">
        <v>163.58079342401265</v>
      </c>
      <c r="X62" s="4" t="s">
        <v>25</v>
      </c>
      <c r="Y62" s="4" t="s">
        <v>22</v>
      </c>
    </row>
    <row r="63" spans="8:25" x14ac:dyDescent="0.25">
      <c r="H63" s="1">
        <v>16184</v>
      </c>
      <c r="I63" s="2">
        <v>1.1885614936438</v>
      </c>
      <c r="J63" s="1" t="s">
        <v>23</v>
      </c>
      <c r="K63" s="1" t="s">
        <v>21</v>
      </c>
      <c r="L63" s="1">
        <v>36</v>
      </c>
      <c r="M63" s="1">
        <v>88.56</v>
      </c>
      <c r="N63" s="1">
        <v>1078</v>
      </c>
      <c r="O63" s="1">
        <v>593</v>
      </c>
      <c r="P63" s="1">
        <v>485</v>
      </c>
      <c r="Q63" s="3">
        <v>0.55009276437847865</v>
      </c>
      <c r="R63" s="2">
        <v>68.691399662731868</v>
      </c>
      <c r="S63" s="1">
        <v>42</v>
      </c>
      <c r="T63" s="2">
        <v>3.3395176252319109E-2</v>
      </c>
      <c r="U63" s="2">
        <v>8.2152133580705014E-2</v>
      </c>
      <c r="V63" s="2">
        <v>836.14869959829446</v>
      </c>
      <c r="W63" s="2">
        <v>836.14869959829446</v>
      </c>
      <c r="X63" s="4" t="s">
        <v>25</v>
      </c>
      <c r="Y63" s="4" t="s">
        <v>22</v>
      </c>
    </row>
    <row r="64" spans="8:25" x14ac:dyDescent="0.25">
      <c r="H64" s="1">
        <v>16739</v>
      </c>
      <c r="I64" s="2">
        <v>1.0573442790815799</v>
      </c>
      <c r="J64" s="1" t="s">
        <v>23</v>
      </c>
      <c r="K64" s="1" t="s">
        <v>27</v>
      </c>
      <c r="L64" s="1">
        <v>53</v>
      </c>
      <c r="M64" s="1">
        <v>139.09800000000001</v>
      </c>
      <c r="N64" s="1">
        <v>576</v>
      </c>
      <c r="O64" s="1">
        <v>396</v>
      </c>
      <c r="P64" s="1">
        <v>180</v>
      </c>
      <c r="Q64" s="3">
        <v>0.6875</v>
      </c>
      <c r="R64" s="2">
        <v>36.883838383838381</v>
      </c>
      <c r="S64" s="1">
        <v>14</v>
      </c>
      <c r="T64" s="2">
        <v>9.2013888888888895E-2</v>
      </c>
      <c r="U64" s="2">
        <v>0.24148958333333337</v>
      </c>
      <c r="V64" s="2">
        <v>152.73469718537223</v>
      </c>
      <c r="W64" s="2">
        <v>152.73469718537223</v>
      </c>
      <c r="X64" s="4" t="s">
        <v>25</v>
      </c>
      <c r="Y64" s="4" t="s">
        <v>22</v>
      </c>
    </row>
    <row r="65" spans="8:25" x14ac:dyDescent="0.25">
      <c r="H65" s="5">
        <v>3817</v>
      </c>
      <c r="I65" s="2">
        <v>1.0079109225874801</v>
      </c>
      <c r="J65" s="1" t="s">
        <v>18</v>
      </c>
      <c r="K65" s="1" t="s">
        <v>21</v>
      </c>
      <c r="L65" s="1">
        <v>79</v>
      </c>
      <c r="M65" s="1">
        <v>66.930999999999997</v>
      </c>
      <c r="N65" s="1">
        <v>122</v>
      </c>
      <c r="O65" s="1">
        <v>73</v>
      </c>
      <c r="P65" s="1">
        <v>49</v>
      </c>
      <c r="Q65" s="3">
        <v>0.59836065573770492</v>
      </c>
      <c r="R65" s="2">
        <v>70.698630136986296</v>
      </c>
      <c r="S65" s="1">
        <v>53</v>
      </c>
      <c r="T65" s="2">
        <v>0.64754098360655743</v>
      </c>
      <c r="U65" s="2">
        <v>0.54861475409836058</v>
      </c>
      <c r="V65" s="2">
        <v>128.86753338082991</v>
      </c>
      <c r="W65" s="2">
        <v>128.86753338082991</v>
      </c>
      <c r="X65" s="4" t="s">
        <v>25</v>
      </c>
      <c r="Y65" s="4" t="s">
        <v>26</v>
      </c>
    </row>
    <row r="66" spans="8:25" x14ac:dyDescent="0.25">
      <c r="H66" s="1">
        <v>4840</v>
      </c>
      <c r="I66" s="2">
        <v>1.0050165860553599</v>
      </c>
      <c r="J66" s="1" t="s">
        <v>18</v>
      </c>
      <c r="K66" s="1" t="s">
        <v>19</v>
      </c>
      <c r="L66" s="1">
        <v>336</v>
      </c>
      <c r="M66" s="1">
        <v>594.00699999999995</v>
      </c>
      <c r="N66" s="1">
        <v>2318</v>
      </c>
      <c r="O66" s="1">
        <v>2097</v>
      </c>
      <c r="P66" s="1">
        <v>221</v>
      </c>
      <c r="Q66" s="3">
        <v>0.90465918895599651</v>
      </c>
      <c r="R66" s="2">
        <v>26.239389604196472</v>
      </c>
      <c r="S66" s="1">
        <v>21</v>
      </c>
      <c r="T66" s="2">
        <v>0.1449525452976704</v>
      </c>
      <c r="U66" s="2">
        <v>0.25625841242450387</v>
      </c>
      <c r="V66" s="2">
        <v>102.39425646924603</v>
      </c>
      <c r="W66" s="2">
        <v>102.39425646924603</v>
      </c>
      <c r="X66" s="4" t="s">
        <v>25</v>
      </c>
      <c r="Y66" s="4" t="s">
        <v>26</v>
      </c>
    </row>
    <row r="67" spans="8:25" x14ac:dyDescent="0.25">
      <c r="H67" s="1">
        <v>4906</v>
      </c>
      <c r="I67" s="2">
        <v>1.0091981596570401</v>
      </c>
      <c r="J67" s="1" t="s">
        <v>18</v>
      </c>
      <c r="K67" s="1" t="s">
        <v>19</v>
      </c>
      <c r="L67" s="1">
        <v>35</v>
      </c>
      <c r="M67" s="1">
        <v>954.43499999999995</v>
      </c>
      <c r="N67" s="1">
        <v>780</v>
      </c>
      <c r="O67" s="1">
        <v>505</v>
      </c>
      <c r="P67" s="1">
        <v>275</v>
      </c>
      <c r="Q67" s="3">
        <v>0.64743589743589747</v>
      </c>
      <c r="R67" s="2">
        <v>27.536633663366342</v>
      </c>
      <c r="S67" s="1">
        <v>15</v>
      </c>
      <c r="T67" s="2">
        <v>4.4871794871794872E-2</v>
      </c>
      <c r="U67" s="2">
        <v>1.2236346153846154</v>
      </c>
      <c r="V67" s="2">
        <v>22.503967538308785</v>
      </c>
      <c r="W67" s="2">
        <v>22.503967538308785</v>
      </c>
      <c r="X67" s="4" t="s">
        <v>25</v>
      </c>
      <c r="Y67" s="4" t="s">
        <v>26</v>
      </c>
    </row>
    <row r="68" spans="8:25" x14ac:dyDescent="0.25">
      <c r="H68" s="1">
        <v>5229</v>
      </c>
      <c r="I68" s="2">
        <v>1.11157971996386</v>
      </c>
      <c r="J68" s="1" t="s">
        <v>18</v>
      </c>
      <c r="K68" s="1" t="s">
        <v>21</v>
      </c>
      <c r="L68" s="1">
        <v>67</v>
      </c>
      <c r="M68" s="1">
        <v>3.8</v>
      </c>
      <c r="N68" s="1">
        <v>188</v>
      </c>
      <c r="O68" s="1">
        <v>142</v>
      </c>
      <c r="P68" s="1">
        <v>46</v>
      </c>
      <c r="Q68" s="3">
        <v>0.75531914893617025</v>
      </c>
      <c r="R68" s="2">
        <v>30.5</v>
      </c>
      <c r="S68" s="1">
        <v>18</v>
      </c>
      <c r="T68" s="2">
        <v>0.35638297872340424</v>
      </c>
      <c r="U68" s="2">
        <v>2.0212765957446806E-2</v>
      </c>
      <c r="V68" s="2">
        <v>1508.9473684210527</v>
      </c>
      <c r="W68" s="2">
        <v>1508.9473684210527</v>
      </c>
      <c r="X68" s="4" t="s">
        <v>25</v>
      </c>
      <c r="Y68" s="4" t="s">
        <v>26</v>
      </c>
    </row>
    <row r="69" spans="8:25" x14ac:dyDescent="0.25">
      <c r="H69" s="1">
        <v>5470</v>
      </c>
      <c r="I69" s="2">
        <v>1.00819569179688</v>
      </c>
      <c r="J69" s="1" t="s">
        <v>18</v>
      </c>
      <c r="K69" s="1" t="s">
        <v>21</v>
      </c>
      <c r="L69" s="1">
        <v>35</v>
      </c>
      <c r="M69" s="1">
        <v>907.654</v>
      </c>
      <c r="N69" s="1">
        <v>732</v>
      </c>
      <c r="O69" s="1">
        <v>626</v>
      </c>
      <c r="P69" s="1">
        <v>106</v>
      </c>
      <c r="Q69" s="3">
        <v>0.85519125683060104</v>
      </c>
      <c r="R69" s="2">
        <v>79.511182108626201</v>
      </c>
      <c r="S69" s="1">
        <v>63</v>
      </c>
      <c r="T69" s="2">
        <v>4.7814207650273222E-2</v>
      </c>
      <c r="U69" s="2">
        <v>1.2399644808743169</v>
      </c>
      <c r="V69" s="2">
        <v>64.123757845516437</v>
      </c>
      <c r="W69" s="2">
        <v>64.123757845516437</v>
      </c>
      <c r="X69" s="4" t="s">
        <v>25</v>
      </c>
      <c r="Y69" s="4" t="s">
        <v>26</v>
      </c>
    </row>
    <row r="70" spans="8:25" x14ac:dyDescent="0.25">
      <c r="H70" s="1">
        <v>5760</v>
      </c>
      <c r="I70" s="2">
        <v>1.06509035285577</v>
      </c>
      <c r="J70" s="1" t="s">
        <v>18</v>
      </c>
      <c r="K70" s="1" t="s">
        <v>21</v>
      </c>
      <c r="L70" s="1">
        <v>123</v>
      </c>
      <c r="M70" s="1">
        <v>32.991</v>
      </c>
      <c r="N70" s="1">
        <v>405</v>
      </c>
      <c r="O70" s="1">
        <v>393</v>
      </c>
      <c r="P70" s="1">
        <v>12</v>
      </c>
      <c r="Q70" s="3">
        <v>0.97037037037037033</v>
      </c>
      <c r="R70" s="2">
        <v>33.755725190839698</v>
      </c>
      <c r="S70" s="1">
        <v>33</v>
      </c>
      <c r="T70" s="2">
        <v>0.3037037037037037</v>
      </c>
      <c r="U70" s="2">
        <v>8.1459259259259259E-2</v>
      </c>
      <c r="V70" s="2">
        <v>414.38782402140214</v>
      </c>
      <c r="W70" s="2">
        <v>414.38782402140214</v>
      </c>
      <c r="X70" s="4">
        <v>2</v>
      </c>
      <c r="Y70" s="4" t="s">
        <v>26</v>
      </c>
    </row>
    <row r="71" spans="8:25" x14ac:dyDescent="0.25">
      <c r="H71" s="1">
        <v>6641</v>
      </c>
      <c r="I71" s="2">
        <v>1.1136558057625201</v>
      </c>
      <c r="J71" s="1" t="s">
        <v>18</v>
      </c>
      <c r="K71" s="1" t="s">
        <v>19</v>
      </c>
      <c r="L71" s="1">
        <v>28</v>
      </c>
      <c r="M71" s="1">
        <v>1279.903</v>
      </c>
      <c r="N71" s="1">
        <v>667</v>
      </c>
      <c r="O71" s="1">
        <v>537</v>
      </c>
      <c r="P71" s="1">
        <v>130</v>
      </c>
      <c r="Q71" s="3">
        <v>0.80509745127436283</v>
      </c>
      <c r="R71" s="2">
        <v>32.456238361266287</v>
      </c>
      <c r="S71" s="1">
        <v>22</v>
      </c>
      <c r="T71" s="2">
        <v>4.1979010494752625E-2</v>
      </c>
      <c r="U71" s="2">
        <v>1.9188950524737631</v>
      </c>
      <c r="V71" s="2">
        <v>16.914024724502259</v>
      </c>
      <c r="W71" s="2">
        <v>16.914024724502259</v>
      </c>
      <c r="X71" s="4" t="s">
        <v>25</v>
      </c>
      <c r="Y71" s="4" t="s">
        <v>26</v>
      </c>
    </row>
    <row r="72" spans="8:25" x14ac:dyDescent="0.25">
      <c r="H72" s="1">
        <v>8410</v>
      </c>
      <c r="I72" s="2">
        <v>1.0265852075767601</v>
      </c>
      <c r="J72" s="1" t="s">
        <v>18</v>
      </c>
      <c r="K72" s="1" t="s">
        <v>19</v>
      </c>
      <c r="L72" s="1">
        <v>215</v>
      </c>
      <c r="M72" s="1">
        <v>459.46</v>
      </c>
      <c r="N72" s="1">
        <v>465</v>
      </c>
      <c r="O72" s="1">
        <v>309</v>
      </c>
      <c r="P72" s="1">
        <v>156</v>
      </c>
      <c r="Q72" s="3">
        <v>0.6645161290322581</v>
      </c>
      <c r="R72" s="2">
        <v>47.925566343042071</v>
      </c>
      <c r="S72" s="1">
        <v>16</v>
      </c>
      <c r="T72" s="2">
        <v>0.46236559139784944</v>
      </c>
      <c r="U72" s="2">
        <v>0.98808602150537628</v>
      </c>
      <c r="V72" s="2">
        <v>48.503435227254961</v>
      </c>
      <c r="W72" s="2">
        <v>48.503435227254961</v>
      </c>
      <c r="X72" s="4">
        <v>3</v>
      </c>
      <c r="Y72" s="4" t="s">
        <v>26</v>
      </c>
    </row>
    <row r="73" spans="8:25" x14ac:dyDescent="0.25">
      <c r="H73" s="5">
        <v>8966</v>
      </c>
      <c r="I73" s="2">
        <v>1.02856286140831</v>
      </c>
      <c r="J73" s="1" t="s">
        <v>18</v>
      </c>
      <c r="K73" s="1" t="s">
        <v>21</v>
      </c>
      <c r="L73" s="1">
        <v>384</v>
      </c>
      <c r="M73" s="1">
        <v>605.83500000000004</v>
      </c>
      <c r="N73" s="1">
        <v>692</v>
      </c>
      <c r="O73" s="1">
        <v>578</v>
      </c>
      <c r="P73" s="1">
        <v>114</v>
      </c>
      <c r="Q73" s="3">
        <v>0.83526011560693647</v>
      </c>
      <c r="R73" s="2">
        <v>52.250865051903112</v>
      </c>
      <c r="S73" s="1">
        <v>24</v>
      </c>
      <c r="T73" s="2">
        <v>0.55491329479768781</v>
      </c>
      <c r="U73" s="2">
        <v>0.87548410404624277</v>
      </c>
      <c r="V73" s="2">
        <v>59.68225443547658</v>
      </c>
      <c r="W73" s="2">
        <v>59.68225443547658</v>
      </c>
      <c r="X73" s="4" t="s">
        <v>25</v>
      </c>
      <c r="Y73" s="4" t="s">
        <v>26</v>
      </c>
    </row>
    <row r="74" spans="8:25" x14ac:dyDescent="0.25">
      <c r="H74" s="1">
        <v>9356</v>
      </c>
      <c r="I74" s="2">
        <v>1.1578335012543799</v>
      </c>
      <c r="J74" s="1" t="s">
        <v>18</v>
      </c>
      <c r="K74" s="1" t="s">
        <v>19</v>
      </c>
      <c r="L74" s="1">
        <v>410</v>
      </c>
      <c r="M74" s="1">
        <v>262.178</v>
      </c>
      <c r="N74" s="1">
        <v>3444</v>
      </c>
      <c r="O74" s="1">
        <v>1125</v>
      </c>
      <c r="P74" s="1">
        <v>2319</v>
      </c>
      <c r="Q74" s="3">
        <v>0.32665505226480834</v>
      </c>
      <c r="R74" s="2">
        <v>14.36888888888889</v>
      </c>
      <c r="S74" s="1">
        <v>12</v>
      </c>
      <c r="T74" s="2">
        <v>0.11904761904761904</v>
      </c>
      <c r="U74" s="2">
        <v>7.6126016260162604E-2</v>
      </c>
      <c r="V74" s="2">
        <v>188.75135722041261</v>
      </c>
      <c r="W74" s="2">
        <v>188.75135722041261</v>
      </c>
      <c r="X74" s="4" t="s">
        <v>25</v>
      </c>
      <c r="Y74" s="4" t="s">
        <v>26</v>
      </c>
    </row>
    <row r="75" spans="8:25" x14ac:dyDescent="0.25">
      <c r="H75" s="1">
        <v>9573</v>
      </c>
      <c r="I75" s="2">
        <v>1.01234567901234</v>
      </c>
      <c r="J75" s="1" t="s">
        <v>18</v>
      </c>
      <c r="K75" s="1" t="s">
        <v>21</v>
      </c>
      <c r="L75" s="1">
        <v>23</v>
      </c>
      <c r="M75" s="1">
        <v>22.241</v>
      </c>
      <c r="N75" s="1">
        <v>84</v>
      </c>
      <c r="O75" s="1">
        <v>82</v>
      </c>
      <c r="P75" s="1">
        <v>2</v>
      </c>
      <c r="Q75" s="3">
        <v>0.97619047619047616</v>
      </c>
      <c r="R75" s="2">
        <v>265.80487804878049</v>
      </c>
      <c r="S75" s="1">
        <v>259</v>
      </c>
      <c r="T75" s="2">
        <v>0.27380952380952384</v>
      </c>
      <c r="U75" s="2">
        <v>0.26477380952380952</v>
      </c>
      <c r="V75" s="2">
        <v>1003.8941484689341</v>
      </c>
      <c r="W75" s="2">
        <v>1003.8941484689341</v>
      </c>
      <c r="X75" s="4">
        <v>1</v>
      </c>
      <c r="Y75" s="4" t="s">
        <v>26</v>
      </c>
    </row>
    <row r="76" spans="8:25" x14ac:dyDescent="0.25">
      <c r="H76" s="1">
        <v>10379</v>
      </c>
      <c r="I76" s="2">
        <v>1.0457760255547499</v>
      </c>
      <c r="J76" s="1" t="s">
        <v>18</v>
      </c>
      <c r="K76" s="1" t="s">
        <v>19</v>
      </c>
      <c r="L76" s="1">
        <v>9</v>
      </c>
      <c r="M76" s="1">
        <v>359.04599999999999</v>
      </c>
      <c r="N76" s="1">
        <v>292</v>
      </c>
      <c r="O76" s="1">
        <v>246</v>
      </c>
      <c r="P76" s="1">
        <v>46</v>
      </c>
      <c r="Q76" s="3">
        <v>0.84246575342465757</v>
      </c>
      <c r="R76" s="2">
        <v>114.1910569105691</v>
      </c>
      <c r="S76" s="1">
        <v>73.5</v>
      </c>
      <c r="T76" s="2">
        <v>3.0821917808219176E-2</v>
      </c>
      <c r="U76" s="2">
        <v>1.2296095890410959</v>
      </c>
      <c r="V76" s="2">
        <v>92.867734546231347</v>
      </c>
      <c r="W76" s="2">
        <v>92.867734546231347</v>
      </c>
      <c r="X76" s="4" t="s">
        <v>25</v>
      </c>
      <c r="Y76" s="4" t="s">
        <v>26</v>
      </c>
    </row>
    <row r="77" spans="8:25" x14ac:dyDescent="0.25">
      <c r="H77" s="1">
        <v>10598</v>
      </c>
      <c r="I77" s="2">
        <v>1.1549295774647901</v>
      </c>
      <c r="J77" s="1" t="s">
        <v>18</v>
      </c>
      <c r="K77" s="1" t="s">
        <v>21</v>
      </c>
      <c r="L77" s="1">
        <v>164</v>
      </c>
      <c r="M77" s="1">
        <v>74.887</v>
      </c>
      <c r="N77" s="1">
        <v>131</v>
      </c>
      <c r="O77" s="1">
        <v>123</v>
      </c>
      <c r="P77" s="1">
        <v>8</v>
      </c>
      <c r="Q77" s="3">
        <v>0.93893129770992367</v>
      </c>
      <c r="R77" s="2">
        <v>85.455284552845526</v>
      </c>
      <c r="S77" s="1">
        <v>63</v>
      </c>
      <c r="T77" s="2">
        <v>1.251908396946565</v>
      </c>
      <c r="U77" s="2">
        <v>0.57165648854961837</v>
      </c>
      <c r="V77" s="2">
        <v>149.48712428622812</v>
      </c>
      <c r="W77" s="2">
        <v>149.48712428622812</v>
      </c>
      <c r="X77" s="4">
        <v>1</v>
      </c>
      <c r="Y77" s="4" t="s">
        <v>26</v>
      </c>
    </row>
    <row r="78" spans="8:25" x14ac:dyDescent="0.25">
      <c r="H78" s="5">
        <v>14106</v>
      </c>
      <c r="I78" s="2">
        <v>1.0285464376590301</v>
      </c>
      <c r="J78" s="1" t="s">
        <v>23</v>
      </c>
      <c r="K78" s="5" t="s">
        <v>19</v>
      </c>
      <c r="L78" s="5">
        <v>21</v>
      </c>
      <c r="M78" s="6">
        <v>0.53656453604784304</v>
      </c>
      <c r="N78" s="1">
        <v>40</v>
      </c>
      <c r="O78" s="1">
        <v>26</v>
      </c>
      <c r="P78" s="1">
        <v>14</v>
      </c>
      <c r="Q78" s="3">
        <v>0.65</v>
      </c>
      <c r="R78" s="2">
        <v>6.6538461538461542</v>
      </c>
      <c r="S78" s="1">
        <v>4</v>
      </c>
      <c r="T78" s="2">
        <f>L78/N78</f>
        <v>0.52500000000000002</v>
      </c>
      <c r="U78" s="2">
        <f>M78/N78</f>
        <v>1.3414113401196076E-2</v>
      </c>
      <c r="V78" s="2">
        <f>R78*N78/M78</f>
        <v>496.03324161944698</v>
      </c>
      <c r="W78" s="2">
        <f>V78</f>
        <v>496.03324161944698</v>
      </c>
      <c r="X78" s="4">
        <v>2</v>
      </c>
      <c r="Y78" s="4" t="s">
        <v>26</v>
      </c>
    </row>
    <row r="79" spans="8:25" x14ac:dyDescent="0.25">
      <c r="H79" s="1">
        <v>15648</v>
      </c>
      <c r="I79" s="2">
        <v>1.1546752774240501</v>
      </c>
      <c r="J79" s="1" t="s">
        <v>23</v>
      </c>
      <c r="K79" s="1" t="s">
        <v>19</v>
      </c>
      <c r="L79" s="1">
        <v>403</v>
      </c>
      <c r="M79" s="1">
        <v>905.45</v>
      </c>
      <c r="N79" s="1">
        <v>203</v>
      </c>
      <c r="O79" s="1">
        <v>156</v>
      </c>
      <c r="P79" s="1">
        <v>47</v>
      </c>
      <c r="Q79" s="3">
        <v>0.76847290640394084</v>
      </c>
      <c r="R79" s="2">
        <v>128.7628205128205</v>
      </c>
      <c r="S79" s="1">
        <v>44.5</v>
      </c>
      <c r="T79" s="2">
        <v>1.9852216748768472</v>
      </c>
      <c r="U79" s="2">
        <v>4.4603448275862068</v>
      </c>
      <c r="V79" s="2">
        <v>28.868355584629256</v>
      </c>
      <c r="W79" s="2">
        <v>28.868355584629256</v>
      </c>
      <c r="X79" s="4">
        <v>3</v>
      </c>
      <c r="Y79" s="4" t="s">
        <v>26</v>
      </c>
    </row>
  </sheetData>
  <autoFilter ref="H1:Y79" xr:uid="{C34A2985-5429-4DAB-8110-BE3B5DE56C2E}">
    <sortState xmlns:xlrd2="http://schemas.microsoft.com/office/spreadsheetml/2017/richdata2" ref="H2:Y79">
      <sortCondition ref="Y1:Y79"/>
    </sortState>
  </autoFilter>
  <conditionalFormatting sqref="I2:I7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:L79">
    <cfRule type="cellIs" dxfId="0" priority="2" operator="equal">
      <formula>2</formula>
    </cfRule>
  </conditionalFormatting>
  <conditionalFormatting sqref="Q2:Q79">
    <cfRule type="colorScale" priority="3">
      <colorScale>
        <cfvo type="min"/>
        <cfvo type="max"/>
        <color rgb="FFFCFCFF"/>
        <color rgb="FFF8696B"/>
      </colorScale>
    </cfRule>
  </conditionalFormatting>
  <conditionalFormatting sqref="R2:S7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</vt:lpstr>
      <vt:lpstr>Median project category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Dagoberto Herrera Murillo</dc:creator>
  <cp:lastModifiedBy>Dagoberto Herrera Murillo</cp:lastModifiedBy>
  <dcterms:created xsi:type="dcterms:W3CDTF">2025-04-08T16:25:37Z</dcterms:created>
  <dcterms:modified xsi:type="dcterms:W3CDTF">2025-07-01T21:44:59Z</dcterms:modified>
</cp:coreProperties>
</file>